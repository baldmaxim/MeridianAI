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N:\Tender\1. В работе\297. ЖК События 6.2 (Донстрой)\3. Отправка КП\003 21.11.2025\"/>
    </mc:Choice>
  </mc:AlternateContent>
  <xr:revisionPtr revIDLastSave="0" documentId="13_ncr:1_{477BB9AD-9519-45D1-B444-8C6974FCA8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Лист1!$A$5:$K$5</definedName>
    <definedName name="Z_3A86128B_0026_42FD_8B72_A90C34F98368_.wvu.FilterData" localSheetId="0" hidden="1">Лист1!$A$5:$I$14</definedName>
  </definedNames>
  <calcPr calcId="191029"/>
  <customWorkbookViews>
    <customWorkbookView name="Репников И.А." guid="{3A86128B-0026-42FD-8B72-A90C34F9836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4" i="1" l="1"/>
  <c r="E29" i="1"/>
  <c r="E28" i="1"/>
</calcChain>
</file>

<file path=xl/sharedStrings.xml><?xml version="1.0" encoding="utf-8"?>
<sst xmlns="http://schemas.openxmlformats.org/spreadsheetml/2006/main" count="848" uniqueCount="410">
  <si>
    <t>БАЗОВАЯ СТОИМОСТЬ РЕСУРСОВ (МАТЕРИАЛОВ)</t>
  </si>
  <si>
    <t>№ п/п</t>
  </si>
  <si>
    <t>Наименование материала</t>
  </si>
  <si>
    <t>Ед. изм.</t>
  </si>
  <si>
    <t>Цена, руб., с доставкой и НДС/ед. изм.</t>
  </si>
  <si>
    <t>Валюта</t>
  </si>
  <si>
    <t>Ссылка на КП</t>
  </si>
  <si>
    <t>Монолит</t>
  </si>
  <si>
    <t>м3</t>
  </si>
  <si>
    <t>руб</t>
  </si>
  <si>
    <t>Арматура</t>
  </si>
  <si>
    <t>тн</t>
  </si>
  <si>
    <t>297. ЖК События 6.2 (Донстрой)_арматура мониторинг цен.xlsx</t>
  </si>
  <si>
    <t>Кладка</t>
  </si>
  <si>
    <t>шт</t>
  </si>
  <si>
    <t>Ком_пред_№_ОП_6442_от_09_10_25_СТРОЙПОСТАВКА.pdf</t>
  </si>
  <si>
    <t>Блок газобетон (газосиликат) стеновой 625*250*200 D600 кг/м3 В5 Istkult</t>
  </si>
  <si>
    <t>Блок газобетон (газосиликат) перегородочный 625*250*100 D600 кг/м3
В3,5 Istkult</t>
  </si>
  <si>
    <t>Блок газобетон (газосиликат) перегородочный 625*250*150 D500 кг/м3
В3,5 Istkult</t>
  </si>
  <si>
    <t>Кирпич строительный полнотелый без плёнки Красный рифленый 250*120*65 мм М150 кг/см2 Липки</t>
  </si>
  <si>
    <t>ПГП стандарт 667*500*80 Кнауф</t>
  </si>
  <si>
    <t>м2</t>
  </si>
  <si>
    <t>Гидроизоляция и кровля</t>
  </si>
  <si>
    <t>3.1</t>
  </si>
  <si>
    <t>3.2</t>
  </si>
  <si>
    <t>3.3</t>
  </si>
  <si>
    <t>3.4</t>
  </si>
  <si>
    <t>3.5</t>
  </si>
  <si>
    <t>КП-04928.pdf</t>
  </si>
  <si>
    <t>3.6</t>
  </si>
  <si>
    <t>Праймер битумный ТЕХНОНИКОЛЬ No01, ведро 20 л</t>
  </si>
  <si>
    <t>кг</t>
  </si>
  <si>
    <t>КП Событие 15.10.2025.pdf</t>
  </si>
  <si>
    <t>3.8</t>
  </si>
  <si>
    <t>3.9</t>
  </si>
  <si>
    <t>ПВХ Logicbase V-ST 1,6 мм</t>
  </si>
  <si>
    <t>3.10</t>
  </si>
  <si>
    <t>ПВХ Logicbase V-SL 2,0 мм</t>
  </si>
  <si>
    <t>3.11</t>
  </si>
  <si>
    <t>XPS Технониколь CARBON PROF 100 мм</t>
  </si>
  <si>
    <t>3.12</t>
  </si>
  <si>
    <t xml:space="preserve">XPS ТЕХНОНИКОЛЬ CARBON PROF 1180х580х50-L </t>
  </si>
  <si>
    <t>3.13</t>
  </si>
  <si>
    <t>Гидрошпонка ТЕХНОНИКОЛЬ EM-260/50</t>
  </si>
  <si>
    <t>пог.м</t>
  </si>
  <si>
    <t>3.14</t>
  </si>
  <si>
    <t>Профиль полимерный набухающий IC-SP 20х10 (20 м/рул)</t>
  </si>
  <si>
    <t>3.16</t>
  </si>
  <si>
    <t>Технобарьер</t>
  </si>
  <si>
    <t>3.17</t>
  </si>
  <si>
    <t>Техноэласт ЭПП</t>
  </si>
  <si>
    <t>3.19</t>
  </si>
  <si>
    <t>LOGICPIR PROF Ф/Ф Г1 L-2385х1185х130</t>
  </si>
  <si>
    <t>3.20</t>
  </si>
  <si>
    <t>PLANTER extra-geo gрофилированная мембрана</t>
  </si>
  <si>
    <t>Керамзитобетон М200</t>
  </si>
  <si>
    <t>Счет на оплату № 8675 от 22.10.2025.pdf</t>
  </si>
  <si>
    <t>Щебень из пеностекла AMAX GLASS</t>
  </si>
  <si>
    <t>Счет на оплату № 6104 от 23 октября 2025 г..pdf</t>
  </si>
  <si>
    <t>Контролит НГ</t>
  </si>
  <si>
    <t>Счет на оплату № 321 от 20 октября 2025 г.pdf</t>
  </si>
  <si>
    <t>Тротуарная плитка 300х300х40</t>
  </si>
  <si>
    <t>КоммерческоеПредложение.pdf</t>
  </si>
  <si>
    <t>SYLOMER SR 850, эластомер виброизолирующий, п/у, лист 1200х1500 мм,толщина 12,5  мм, бирюзовый</t>
  </si>
  <si>
    <t>КП и Сопроводительное письмо Акустик Групп - Донстрой Событие 6.2.pdf</t>
  </si>
  <si>
    <t>SYLOMER SR 55, эластомер виброизолирующий, п/у, лист 1200х1500 мм,толщина 12,5  мм, зеленый</t>
  </si>
  <si>
    <t>SYLOMER SR 42, эластомер виброизолирующий, п/у, лист 1200х1500 мм,толщина 12,5  мм, розовый</t>
  </si>
  <si>
    <t>SYLOMER SR 28, эластомер виброизолирующий, п/у, лист 1200х1500 мм,толщина 12,5  мм, синий</t>
  </si>
  <si>
    <t>SYLOMER SR 11, эластомер виброизолирующий, п/у, лист 1200х1500 мм,толщина 12,5  мм, желтый</t>
  </si>
  <si>
    <t>Фасады</t>
  </si>
  <si>
    <t>4.1</t>
  </si>
  <si>
    <t>(10 LartaPro HP Neutral 60/40 зак (поз. 2) – 16 Ar “теплый край” – 8 LartaPro Premium T зак (поз. 4) – 16 Ar “теплый край” – 66.4 ExtraClear зак.)</t>
  </si>
  <si>
    <t>Стеклопакеты Vitro Событие 6.2.png</t>
  </si>
  <si>
    <t>4.2</t>
  </si>
  <si>
    <t>4.3</t>
  </si>
  <si>
    <t>(6 LartaPro HP Neutral 60/40 зак (поз. 2) – 14 Ar “теплый край” – 6 LartaPro Premium T зак (поз. 4) – 14 Ar “теплый край” – 6 ExtraClear зак.)</t>
  </si>
  <si>
    <t>4.4</t>
  </si>
  <si>
    <t>(Стеклопакет 8 LartaPro HP Neutral 60/40 зак (поз. 2) – 14 Ar “теплый край” – 6 LartaPro Premium T зак (поз. 4) – 14 Ar “теплый край” – 66.4 ExtraClea</t>
  </si>
  <si>
    <t>4.5</t>
  </si>
  <si>
    <t>(Стеклопакет: 8 LartaPro HP Neutral 60/40 зак (поз. 2) – 16 – 6 ExtraClear зак.)</t>
  </si>
  <si>
    <t>4.6</t>
  </si>
  <si>
    <t>(Стеклопакет: 8 LartaPro HP Neutral 60/40 зак (поз. 2) – 16 Ar “теплый край” – 6 LartaPro Premium T зак – 16 Ar “теплый край” – 66.4 ExtraClear зак.)</t>
  </si>
  <si>
    <t>4.7</t>
  </si>
  <si>
    <t>1010.4 (10 мм Planibel Crystalvision (зак.) + 1,52 мм PVB-плёнка + 10 мм Planibel Crystalvision (зак.))</t>
  </si>
  <si>
    <t>4.8</t>
  </si>
  <si>
    <t>8 LartaPro зак – 16ар – 6 LartaPro Premium T зак – 16 гель – 6зак EIW60</t>
  </si>
  <si>
    <t>4.9</t>
  </si>
  <si>
    <t>4.10</t>
  </si>
  <si>
    <t>АЛМО. Балконный блок</t>
  </si>
  <si>
    <t>ВОР Витражный профиль Событие 6.2.xlsx</t>
  </si>
  <si>
    <t>4.11</t>
  </si>
  <si>
    <t>АЛМО. Дверь двуполная остекленная в составе витража</t>
  </si>
  <si>
    <t>4.12</t>
  </si>
  <si>
    <t>АЛМО. Дверь двупольная противопожарная EI30</t>
  </si>
  <si>
    <t>4.13</t>
  </si>
  <si>
    <t>АЛМО. Дверь однопольная остекленная в составе витража</t>
  </si>
  <si>
    <t>4.14</t>
  </si>
  <si>
    <t>АЛМО. Каркас криволинейный в плане</t>
  </si>
  <si>
    <t>4.15</t>
  </si>
  <si>
    <t>АЛМО. Окно одностворчатое с одной поворотно откидной створкой с ограждением</t>
  </si>
  <si>
    <t>4.16</t>
  </si>
  <si>
    <t>АЛМО. Окно одностворчатое с одной поворотно откидной створкой без ограждения</t>
  </si>
  <si>
    <t>4.17</t>
  </si>
  <si>
    <t>АЛМО. Профиль защитного экрана</t>
  </si>
  <si>
    <t>4.18</t>
  </si>
  <si>
    <t>АЛМО. Профиль каркаса 1-го этажа</t>
  </si>
  <si>
    <t>4.19</t>
  </si>
  <si>
    <t>АЛМО. Профиль каркаса 1-го этажа в противопожарном исполнении</t>
  </si>
  <si>
    <t>4.20</t>
  </si>
  <si>
    <t>АЛМО. Профиль каркаса на жилых этажах</t>
  </si>
  <si>
    <t>4.21</t>
  </si>
  <si>
    <t>АЛМО. Профиль окон АИТ</t>
  </si>
  <si>
    <t>4.22</t>
  </si>
  <si>
    <t>КП по ВОР Фасады Событие 6.2 (СУ-10) от 23.10.2025 Альтернатива.xlsx</t>
  </si>
  <si>
    <t>4.23</t>
  </si>
  <si>
    <t>4.24</t>
  </si>
  <si>
    <t>4.25</t>
  </si>
  <si>
    <t>4.26</t>
  </si>
  <si>
    <t>4.27</t>
  </si>
  <si>
    <t>4.28</t>
  </si>
  <si>
    <t>Моллир (8 LartaPro HP Neutral 60/40 зак (поз. 2) – 14 Ar “теплый край” – 6 LartaPro Premium T зак (поз. 4) – 14 Ar “теплый край” – 66.4 ExtraClea</t>
  </si>
  <si>
    <t>4.29</t>
  </si>
  <si>
    <t>Стеклопакет: 8 LartaPro HP Neutral 60/40 зак (поз. 2) – 14 Ar “теплый край” – 6 LartaPro Premium T зак – 14 Ar “теплый край” – 6 ExtraClear зак.)</t>
  </si>
  <si>
    <t>Триплекс 8.8.2 козырьки</t>
  </si>
  <si>
    <t>Коммерческое предложение - Стеклянные козырьки.pdf</t>
  </si>
  <si>
    <t>Кассеты 3 мм Алкотек</t>
  </si>
  <si>
    <t>ВОР Фасады Событие 6.2 КП Алкотек.pdf</t>
  </si>
  <si>
    <t>шт.</t>
  </si>
  <si>
    <t>м.п.</t>
  </si>
  <si>
    <t>Отделка</t>
  </si>
  <si>
    <t>6.1</t>
  </si>
  <si>
    <t>Бетонный пол с покрытием топпинг</t>
  </si>
  <si>
    <t>Полы паркинга (топпинг).pdf</t>
  </si>
  <si>
    <t>6.2</t>
  </si>
  <si>
    <t>Арт-объект StyleXO</t>
  </si>
  <si>
    <t>Мебель ИИ. StyleXO.pdf</t>
  </si>
  <si>
    <t>6.3</t>
  </si>
  <si>
    <t>Гидроизоляция Кнауф Флэхендихт 5 кг (кг)</t>
  </si>
  <si>
    <t>Смеси КНАУФ.pdf</t>
  </si>
  <si>
    <t>6.4</t>
  </si>
  <si>
    <t>Диван Hero (шт)</t>
  </si>
  <si>
    <t>Диван Hero.pdf</t>
  </si>
  <si>
    <t>6.5</t>
  </si>
  <si>
    <t>Игровой комплекс в детской - Тип 1</t>
  </si>
  <si>
    <t>Мебель Игровая.pdf</t>
  </si>
  <si>
    <t>6.6</t>
  </si>
  <si>
    <t>Игровой комплекс в детской - Тип 2</t>
  </si>
  <si>
    <t>6.7</t>
  </si>
  <si>
    <t>6.8</t>
  </si>
  <si>
    <t>Керамогранит ARCH SKIN, 3000х1000х5,5 мм (CLC.SA.TB.LG)</t>
  </si>
  <si>
    <t>Керамогранит ArchSkin.pdf</t>
  </si>
  <si>
    <t>6.9</t>
  </si>
  <si>
    <t>Керамогранит ARCH SKIN, 3000х1000х5,6 мм (SL.FK.TL.NT)</t>
  </si>
  <si>
    <t>6.10</t>
  </si>
  <si>
    <t>6.11</t>
  </si>
  <si>
    <t>Керамогранит Atlas Boost Expression, арт. AYSB, 1200х500х10 мм</t>
  </si>
  <si>
    <t>Керамогранит Atlas.pdf</t>
  </si>
  <si>
    <t>6.12</t>
  </si>
  <si>
    <t>Керамогранит Estima St10 300x300</t>
  </si>
  <si>
    <t>Керамогранит Estima для техпом.pdf</t>
  </si>
  <si>
    <t>6.13</t>
  </si>
  <si>
    <t>Керамогранит Kerama Marazzi Про Стоун серый светлый обрезной 60х60х9</t>
  </si>
  <si>
    <t>Керамогранит Kerama Marazzi для ЛК.pdf</t>
  </si>
  <si>
    <t>6.14</t>
  </si>
  <si>
    <t>Керамогранит KUTAHYA OCTAVIA SERIES PRODUCTS, PORCELAIN, цвет Bone Rectified 1200х1200 мм</t>
  </si>
  <si>
    <t>Керамогранит KUTAHYA.pdf</t>
  </si>
  <si>
    <t>6.15</t>
  </si>
  <si>
    <t>Клеевая смесь HYPERFLEX K100 серая</t>
  </si>
  <si>
    <t>Клей, гидроизоляция LITOKOL.pdf</t>
  </si>
  <si>
    <t>6.16</t>
  </si>
  <si>
    <t>Клеевая смесь LITOFLEX К81 (кг)</t>
  </si>
  <si>
    <t>6.17</t>
  </si>
  <si>
    <t>Краски.pdf</t>
  </si>
  <si>
    <t>6.18</t>
  </si>
  <si>
    <t>Краска Негорючая для мест эвакуации Оптимист W220 НГ КМ0 (RAL 7021)</t>
  </si>
  <si>
    <t>6.19</t>
  </si>
  <si>
    <t>Краска Негорючая для мест эвакуации Оптимист W220 НГ КМ0 (RAL 7024)</t>
  </si>
  <si>
    <t>6.20</t>
  </si>
  <si>
    <t>Кресло ESME ARMCHAIR (шт)</t>
  </si>
  <si>
    <t>Кресло ESME ARMCHAIR.pdf</t>
  </si>
  <si>
    <t>Локер 16 ячеек</t>
  </si>
  <si>
    <t>компл</t>
  </si>
  <si>
    <t>CP_HOGER_Почтовые_ящики_ЖК_Событие_6.2[1].pdf</t>
  </si>
  <si>
    <t>Технониколь.pdf</t>
  </si>
  <si>
    <t>Материалы для разметки машиномест</t>
  </si>
  <si>
    <t>Полы паркинга.pdf</t>
  </si>
  <si>
    <t>Настенные металлические панели, металл в порошковой окраске по RAL 7048</t>
  </si>
  <si>
    <t>CP_HOGER_Металл панели_Событие_6.2__(1)[1].pdf</t>
  </si>
  <si>
    <t>CP_HOGER_Порталы_Событие_6.2[1].pdf</t>
  </si>
  <si>
    <t>Обрамление лифтового портала Типового этажа. Габариты проёма 1100х2400мм. Глубина проёма до 300мм. Лицевая часть до 30мм. Фрамуга 1100х300мм. Материал изготовления: нержавеющая сталь AISI 430 шлифованная.</t>
  </si>
  <si>
    <t>Обрамление лифтового портала Типового этажа. Габариты проёма 1300/1400х2400мм. Глубина проёма до 300мм. Лицевая часть до 30мм. Фрамуга 1100х300мм. Материал изготовления: нержавеющая сталь AISI 430 шлифованная.</t>
  </si>
  <si>
    <t>Обрызг штукатурный "Perfekta" (кг)</t>
  </si>
  <si>
    <t>Perfekta.pdf</t>
  </si>
  <si>
    <t>Песок мытый (м3)</t>
  </si>
  <si>
    <t>Песок мытый (м3).jpg</t>
  </si>
  <si>
    <t>П-образный профиль 15*15*15 из шлифованной нержавеющей стали AISI 430</t>
  </si>
  <si>
    <t>Профили П-образные.pdf</t>
  </si>
  <si>
    <t>Подвесной указатель направления к корпусам, лайтбокс с встроенным световым элементом снизу</t>
  </si>
  <si>
    <t>CP_HOGER_Навигация_ЖК_Событие_6.2[1].pdf</t>
  </si>
  <si>
    <t>Потолочная система ERDAL Hook-on оцинк. ст. 0,6 мм, с типовым размером кассеты 530х1500 мм</t>
  </si>
  <si>
    <t>Потолки Erdal.pdf</t>
  </si>
  <si>
    <t>Потолочная система ERDAL Hook-on оцинк. ст. 0,8 мм, с типовым размером кассеты 530х2100 мм, цвет RAL 9003</t>
  </si>
  <si>
    <t>Почтовые ящики, встроенные в стены с смарт системой доступа</t>
  </si>
  <si>
    <t>Реечная потолочная система ERDAL оцинк. ст. 30х80 мм, интервал 40 мм, цвет RAL 9005</t>
  </si>
  <si>
    <t>Стеновые панели из МДФ</t>
  </si>
  <si>
    <t>Стойка ресепшн ИИ-6.1</t>
  </si>
  <si>
    <t>Стойка ресепшн ИИ-6.2</t>
  </si>
  <si>
    <t>Теневой плинтус  REVERSE 36 для панелей и керамогранита</t>
  </si>
  <si>
    <t>Теневой плинтус  REVERSE 36.pdf</t>
  </si>
  <si>
    <t>Цемент М-500 (кг)</t>
  </si>
  <si>
    <t>Цемент М-500 (кг).pdf</t>
  </si>
  <si>
    <t>Штукатурка цементная "Perfekta" (кг)</t>
  </si>
  <si>
    <t>Экструзионный пенополистирол (XPS) Технониколь Carbon Prof 50 мм</t>
  </si>
  <si>
    <t>Двери, люки и ворота</t>
  </si>
  <si>
    <t>Двустворчатая дверь – люк, со скрытой коробкой. Ручки – подпружиненный механизм открывания и солинодный замок, СКУД. 1000x2100</t>
  </si>
  <si>
    <t>КП Люки Хаммер.xlsx</t>
  </si>
  <si>
    <t>Двустворчатая дверь – люк, со скрытой коробкой. Ручки – подпружиненный механизм открывания и солинодный замок, СКУД. 1200x2100</t>
  </si>
  <si>
    <t xml:space="preserve"> Конструкция рольставен (016) (Высота конструкции (мм):2 200, Ширина конструкции (мм):2 580, Цвет полотна:Антрацит муар (RAL 7016), Тип профиля:Профиль RHS75,  k:7), DUS-016</t>
  </si>
  <si>
    <t>MSDH-128658 Рольставни 7016 (1).pdf</t>
  </si>
  <si>
    <t>Конструкция рольставен (016) (Высота конструкции (мм):2 200, Ширина конструкции (мм):2 780, Цвет полотна:Антрацит муар (RAL 7016), Тип профиля:Профиль RHS75,  k:13), DUS-016</t>
  </si>
  <si>
    <t>Конструкция рольставен (016) (Высота конструкции (мм):2 200, Ширина конструкции (мм):2 980, Цвет полотна:Антрацит муар (RAL 7016), Тип профиля:Профиль RHS75,  k:19), DUS-016</t>
  </si>
  <si>
    <t>Штора противопожарная с орошением (Ширина проёма (мм):7 700, Высота проёма (мм):3 630,  k:8), DUS-238-OR</t>
  </si>
  <si>
    <t>MSDH-128686 Шторы с орошением.pdf</t>
  </si>
  <si>
    <t>EFA-SST®-L-Basic 292 Размер ворот: 3000 х 3200 (ШхВ) мм</t>
  </si>
  <si>
    <t>КП 2502075-2 ворота EFAFLEX (SST-Prem) 22 10 СУ-10 (ЖК СОбытие 6.2).pdf</t>
  </si>
  <si>
    <t>EFA-SST®-L-Premium 290 Размер ворот: 3100 х 3560 (ШхВ) мм</t>
  </si>
  <si>
    <t>Дверь противопожарная остекленная EIWS60, двупольная неравнопольная (остекление свыше 25%). 1500x2200</t>
  </si>
  <si>
    <t>КП ЖК События 6.2 Донстрой (НПО Пульс) (2).xlsx</t>
  </si>
  <si>
    <t>Дверь противопожарная стальная глухая EIS-60,  петли скрытые 1150x2200</t>
  </si>
  <si>
    <t>КП_ТЗ ЖК События 6.2 Донстрой (Ягуар) (2)_23.10.2025.xlsx</t>
  </si>
  <si>
    <t>Дверь металлическая одностворчатая глухая. 1150x2200 EI-30</t>
  </si>
  <si>
    <t>Двери в лифтовой холл 1500x2200 EIWS-60</t>
  </si>
  <si>
    <t>Дверь противопожарная остекленная EIWS60, однопольная (остекление свыше 25%) 1150x2200</t>
  </si>
  <si>
    <t>Дверь глухая противопожарная EIS-60 со скрытой коробкой под облицовку керамогранитом 900x2200</t>
  </si>
  <si>
    <t>EFA-SST®-L-Premium 261 Размер ворот: 6000 х 2700 (ШхВ) мм</t>
  </si>
  <si>
    <t>EFA-SST®-L-Premium 290¶Размер ворот: 3500 х 4200 (ШхВ) мм,</t>
  </si>
  <si>
    <t>Дверь раздвижная остекленная в составе витража 2065х2280(h)</t>
  </si>
  <si>
    <t>2. Раздвижные двери (4).xlsx</t>
  </si>
  <si>
    <t>Металлоконструкции</t>
  </si>
  <si>
    <t>Устройство металлических балок, профиль 200 x 5 ГОСТ 30245-94</t>
  </si>
  <si>
    <t>ВОР_на дом Раменки.xlsx</t>
  </si>
  <si>
    <t>Устройство металлических балок, профиль120 x 5 ГОСТ 30245-94</t>
  </si>
  <si>
    <t>Технологические решения</t>
  </si>
  <si>
    <t>Мусоропровод</t>
  </si>
  <si>
    <t>кп мусоропровод.pdf</t>
  </si>
  <si>
    <t>Лоток водоотводный CompoMax Drive ЛВ–10.16.08-П.4 полимербетонный 70271.4</t>
  </si>
  <si>
    <t>Коммерческое предложение клиенту СУ-10 ООО (Скороспелова)  № 8086 от 22.10.2025.pdf</t>
  </si>
  <si>
    <t>Решетка водоприемная Drive РВ-10.15.50 щелевая чугунная ВЧ, кл.D 203043</t>
  </si>
  <si>
    <t>ДКУ-20 Демпфер угловой резиновый</t>
  </si>
  <si>
    <t>Прайс лист на защиту для стен и углов _ ПК _Технология_.pdf</t>
  </si>
  <si>
    <t>КР-2,0 Отбойник для парковки резиновый (2000х150х100 мм)</t>
  </si>
  <si>
    <t>Прайс лист на колесоотбойники _ ПК _Технология_.pdf</t>
  </si>
  <si>
    <t>Устройство автоматической мойки колес ООО "Концерн "МОЙДОДЫР"</t>
  </si>
  <si>
    <t>КП 264.25.К10(П)-(нерж.).pdf</t>
  </si>
  <si>
    <t>Вертикальный транспорт</t>
  </si>
  <si>
    <t>Л1.1, грузоподъемностью 1000 кг с 30 остановками, внутренние размеры кабины 1550х1300, тип открывания дверей CO-FMT, режим "перевозка пожарных подразделений". Производитель "KOYO SWORD". Лифт оснащен ловителями противовеса. В кабине установлена видеокамера и монитор в приказной панели для АРМ, звук проигрывается через СОУЭ.</t>
  </si>
  <si>
    <t>27.10.2025 КП№8 Модтфил (Событие-6.2) SWORD.pdf</t>
  </si>
  <si>
    <t xml:space="preserve"> Л1.2 грузоподъемностью 1000 кг с 30 остановками, внутренние размеры кабины 1550х1300, тип открывания дверей CO-FMT. Производитель "KOYO SWORD". Лифт оснащен ловителями противовеса. В кабине установлена видеокамера и монитор в приказной панели  для АРМ , звук проигрывается через СОУЭ.</t>
  </si>
  <si>
    <t xml:space="preserve"> Л1.3 грузоподъемностью 1600 кг с 30 остановками, внутренние размеры кабины 2100х1650, с проходной кабиной, тип открывания дверей CO-FMT, режим "перевозка пожарных подразделений", режим "перевозка инвалидов". Производитель "KOYO SWORD". Лифт оснащен ловителями противовеса. В кабине установлена видеокамера и монитор в приказной панели  для АРМ, звук проигрывается через СОУЭ.</t>
  </si>
  <si>
    <t xml:space="preserve"> Л2.1 грузоподъемностью 1000 кг с 12 остановками, внутренние размеры кабины 1200х1800, тип открывания дверей CO-FMT. Производитель "KOYO SWORD" . Лифт оснащен ловителями противовеса. В кабине установлена видеокамера и монитор в приказной панели  для АРМ, звук проигрывается через СОУЭ.</t>
  </si>
  <si>
    <t xml:space="preserve"> Л2.2 грузоподъемностью 1600 кг с 12 остановками, внутренние размеры кабины 2100х1650, с проходной кабиной, тип открывания дверей CO-FMT, режим "перевозка пожарных подразделений", режим "перевозка инвалидов". Производитель "KOYO SWORD". Лифт оснащен ловителями противовеса. В кабине установлена видеокамера и монитор в приказной панели  для АРМ, звук проигрывается через СОУЭ.</t>
  </si>
  <si>
    <t xml:space="preserve"> Л3.1 грузоподъемностью 1000 кг с 14 остановками, внутренние размеры кабины 1200х1800, тип открывания дверей CO-FMT. Производитель "KOYO SWORD". Лифт оснащен ловителями противовеса. В кабине установлена видеокамера и монитор в приказной панели для АРМ, звук проигрывается через СОУЭ.</t>
  </si>
  <si>
    <t xml:space="preserve"> Л3.2 грузоподъемностью 1600 кг с 14 остановками, внутренние размеры кабины 2100х1650, с проходной кабиной, тип открывания дверей CO-FMT, режим "перевозка пожарных подразделений", режим "перевозка инвалидов". Производитель "KOYO". Лифт оснащен ловителями противовеса. В кабине установлена видеокамера и монитор в приказной панели для АРМ, звук проигрывается через СОУЭ.</t>
  </si>
  <si>
    <t xml:space="preserve"> Л4.1 грузоподъемностью 1000 кг с 12 остановками, внутренние размеры кабины 1200х1800, тип открывания дверей CO-FMT. Производитель "KOYO". Лифт оснащен ловителями противовеса. В кабине установлена видеокамера и монитор в приказной панели для АРМ, звук проигрывается через СОУЭ.</t>
  </si>
  <si>
    <t xml:space="preserve"> Л4.2 грузоподъемностью 1600 кг с 12 остановками, внутренние размеры кабины 2100х1650, с проходной кабиной, тип открывания дверей CO-FMT, режим "перевозка пожарных подразделений", режим "перевозка инвалидов". Производитель "KOYO SWORD". Лифт оснащен ловителями противовеса. В кабине установлена видеокамера и монитор в приказной панели для АРМ, звук проигрывается через СОУЭ.</t>
  </si>
  <si>
    <t xml:space="preserve"> Л5.1 грузоподъемностью 1000 кг с 40 остановками, внутренние размеры кабины 1550х1400, тип открывания дверей CO-FMT. Производитель "KOYO SWORD". Лифт оснащен ловителями противовеса. В кабине установлена видеокамера и монитор в приказной панели для АРМ , звук проигрывается через СОУЭ.</t>
  </si>
  <si>
    <t xml:space="preserve"> Л5.2 грузоподъемностью 1000 кг с 40 остановками, внутренние размеры кабины 1550х1400, тип открывания дверей CO-FMT, режим "перевозка пожарных подразделений", режим "перевозка инвалидов". Производитель "KOYO SWORD". Лифт оснащен ловителями противовеса. В кабине установлена видеокамера и монитор в приказной панели  для АРМ, звук проигрывается через СОУЭ.</t>
  </si>
  <si>
    <t xml:space="preserve"> Л5.3 грузоподъемностью 1000 кг с 40 остановками, внутренние размеры кабины 1550х1300, тип открывания дверей CO-FMT. Производитель "KOYO SWORD". Лифт оснащен ловителями противовеса. В кабине установлена видеокамера и монитор в приказной панели  для АРМ, звук проигрывается через СОУЭ.</t>
  </si>
  <si>
    <t>10.13</t>
  </si>
  <si>
    <t xml:space="preserve"> Л5.4 грузоподъемностью 1600 кг с 40 остановками, внутренние размеры кабины 2100х1650, с проходной кабиной, тип открывания дверей CO-FMT, режим "перевозка пожарных подразделений", режим "перевозка инвалидов". Производитель "KOYO SWORD". Лифт оснащен ловителями противовеса. В кабине установлена видеокамера и монитор в приказной панели для АРМ, звук проигрывается через СОУЭ.</t>
  </si>
  <si>
    <t>10.14</t>
  </si>
  <si>
    <t xml:space="preserve"> ДОО ЛД1 грузоподъемностью 1000 кг с 2 остановками, внутренние размеры кабины 2100х1100, тип открывания дверей SO-FMT, режим "перевозка пожарных подразделений", режим "перевозка инвалидов". Производитель "KOYO SWORD". Лифт оснащен ловителями противовеса. В кабине установлена видеокамера и монитор в приказной панели для АРМ, звук проигрывается через СОУЭ.</t>
  </si>
  <si>
    <t>10.15</t>
  </si>
  <si>
    <t xml:space="preserve"> ДОО ЛД2 грузоподъемностью 1000 кг с 2 остановками, внутренние размеры кабины 1100х2100, тип открывания дверей SO-FMT, режим "перевозка пожарных подразделений", режим "перевозка инвалидов". Производитель "KOYO SWORD". Лифт оснащен ловителями противовеса. В кабине установлена видеокамера и монитор в приказной панели  для АРМ, звук проигрывается через СОУЭ.</t>
  </si>
  <si>
    <t>10.16</t>
  </si>
  <si>
    <t xml:space="preserve"> П3 грузоподъемностью 1250 кг с 2 остановками, внутренние размеры кабины 1450х1800, тип открывания дверей SO-FMT. Производитель "KOYO SWORD". Лифт оснащен ловителями противовеса. В кабине установлена видеокамера и монитор в приказной панели  для АРМ, звук проигрывается через СОУЭ.</t>
  </si>
  <si>
    <t>10.17</t>
  </si>
  <si>
    <t>П1 грузоподъемностью 100 кг с 2 остановками, внутренние размеры кабины 1200х 800
Производитель ЗАО "Предприятие ПАРНАС", РФ</t>
  </si>
  <si>
    <t>240128_ATV_А3_Событие 6.2.pdf</t>
  </si>
  <si>
    <t>10.18</t>
  </si>
  <si>
    <t>П2 грузоподъемностью 100 кг с 2 остановками, внутренние размеры кабины 1200х 800
Производитель ЗАО "Предприятие ПАРНАС", РФ</t>
  </si>
  <si>
    <t>Благоустройство</t>
  </si>
  <si>
    <t>Бортовой камень садовый,1000х200х80, Покостовский FERRO</t>
  </si>
  <si>
    <t>готика плитка .pdf</t>
  </si>
  <si>
    <t>Газонная решетка Геомакс</t>
  </si>
  <si>
    <t>Счет-оферта (факсимиле) Глобалгеосинт.pdf</t>
  </si>
  <si>
    <t>Гортензия древовидная 'Грандифлора',Высота 1м, диаметр кроны не менее 1м, 1 сорт; кол-во скелетных ветвей не менее 6 шт., ком не менее 0,25х0,25м</t>
  </si>
  <si>
    <t>КП Вергер - Расчет 297. ЖК События 6.2 (Донстрой) (2) (1).xlsx</t>
  </si>
  <si>
    <t>Гортензия метельчатая 'Саммер Лав',Высота 1м, диаметр кроны не менее 1м, 1 сорт; кол-во скелетных ветвей не менее 6 шт., ком не менее 0,25х0,25м</t>
  </si>
  <si>
    <t>Гортензия черешковая (культивируемая),Высота не менее 1,5м, С7,5</t>
  </si>
  <si>
    <t>Диван парковый Smart ДП.015</t>
  </si>
  <si>
    <t>КП ЮАМЕТ.pdf</t>
  </si>
  <si>
    <t>Игровая башня «Куб-10»</t>
  </si>
  <si>
    <t>Аданат КП № 56423 от 17.10.25.pdf</t>
  </si>
  <si>
    <t>Ирга Канадская Ламарка (зонт),Высота не менее 1,5м, диаметр кроны не менее 1,5м, 1 сорт; кол-во скелетных ветвей не менее 6 шт., ком не менее 0,30х0,30м</t>
  </si>
  <si>
    <t>Карагана древовидная 'Лорберги' (зонт),Высота не менее 1,5м, диаметр кроны не менее 1,5м, 1 сорт; кол-во скелетных ветвей не менее 6 шт., ком не менее 0,30х0,30м</t>
  </si>
  <si>
    <t>Качели «Пегас» без подлокотников</t>
  </si>
  <si>
    <t>Кашпо Cubric 150*60 DB бежевого цвета BERKANO</t>
  </si>
  <si>
    <t>КП ИП ГЕРАСИМОВ_ООО «ДС СТРОЙ».pdf</t>
  </si>
  <si>
    <t>Клен красный, Высота 5-6 м, 1 сорт, обхват ствола 20-25 см, диаметр кроны не менее 1,75м, размер кома не менее 1,3х1,3х0,6 (WRB), кол-во скелетных ветвей не менее 8 шт.</t>
  </si>
  <si>
    <t>Комплекс для паркура</t>
  </si>
  <si>
    <t>КП Событие.xlsx</t>
  </si>
  <si>
    <t>Липа европейская 'Паллида', Высота 5-6 м, 1 сорт, обхват ствола 20-25 см, диаметр кроны не менее 1,75м, размер кома не менее 1,3х1,3х0,6 (WRB), кол-во скелетных ветвей не менее 8 шт.</t>
  </si>
  <si>
    <t>Лоток водоотводный CompoMax Drive ЛВ–V-10.16.26-П-Ус. полимербетонный усиленный 70671V</t>
  </si>
  <si>
    <t>Коммерческое предложение клиенту СУ-10 ООО (Скороспелова)  № 7877 от 15.10.2025.pdf</t>
  </si>
  <si>
    <t>Микробиота перекрестнопарная,Высота не менее 0,4м, диаметр кроны не менее 0,8м, 1 сорт; кол-во скелетных ветвей не менее 6 шт., С7,5</t>
  </si>
  <si>
    <t>Мульчирование корой лиственницы Кора лиственницы Галтованная для озеленения, Толщина мульчирования 7 см</t>
  </si>
  <si>
    <t>Плодородный грунт</t>
  </si>
  <si>
    <t>Сирень обыкновенная 'Красавица Москвы',Высота не менее 1,5м, диаметр кроны не менее 1,5м, 1 сорт; кол-во скелетных ветвей не менее 6 шт., ком не менее 0,30х0,30м</t>
  </si>
  <si>
    <t>Скамья Верона со спинкой и подлокотниками -1 со спинкой и двумя подлокотниками</t>
  </si>
  <si>
    <t>15.10.2025 КП на МАФы ООО СУ-10 (Москва) Жук Владислав.pdf</t>
  </si>
  <si>
    <t>Сосна горная ф. мугус,Высота не менее 1м, диаметр кроны не менее 1м, 1 сорт; кол-во скелетных ветвей не менее 6 шт., ком не менее 0,30х0,30м</t>
  </si>
  <si>
    <t>Сосна обыкновенная,Высота не менее 3,5 м, 1 сорт, диаметр кроны не менее 1,5м; размер кома не менее 1,3х1,3х0,6 (WRB)</t>
  </si>
  <si>
    <t>Спирея берёзолистная 'Тор',Высота 0,6м, диаметр кроны не менее 0,6м, кол-во скелетных ветвей не менее 6 шт., С5</t>
  </si>
  <si>
    <t>Спирея японская 'Оденсала',Высота 0,6м, диаметр кроны не менее 0,6м, кол-во скелетных ветвей не менее 6 шт., С5</t>
  </si>
  <si>
    <t>Спортивный комплекс «Аполлон Экстра»</t>
  </si>
  <si>
    <t>Стефанандра надрезаннолистная 'Криспа',Высота не менее 0,6м, диаметр кроны не менее 0,8м, 1 сорт; кол-во скелетных ветвей не менее 6 шт., С7,5</t>
  </si>
  <si>
    <t>Сэндвич-Вивигам Толщина 80 мм (70+10 мм)</t>
  </si>
  <si>
    <t>15.10.2025г CВ и В.Спорт  СУ-10 ЖК Событие 3 к.2.xlsx</t>
  </si>
  <si>
    <t>Тротуарная плитка Паркет 300х100х80, Покостовский FINERRO</t>
  </si>
  <si>
    <t>Тротуарная плитка Паркет 300х100х80, Цветок Урала FINO</t>
  </si>
  <si>
    <t>Уличная беседка cо скамьей, столиком и креслом, М-1МафМаркет</t>
  </si>
  <si>
    <t>КП 16_10_2025.pdf</t>
  </si>
  <si>
    <t>Уличная беседка с барными табуретами и столешницами, М-2МафМаркет</t>
  </si>
  <si>
    <t>Щебень гравийный (фракция 20-40)</t>
  </si>
  <si>
    <t>Яблоня декоративная (розовая), Высота 3,5-4 м, 1 сорт, Mst, диаметр кроны не менее 2м, размер кома не менее 1,3х1,3х0,6 (WRB), кол-во скелетных ветвей не менее 8 шт.</t>
  </si>
  <si>
    <t>Примечание</t>
  </si>
  <si>
    <t>Материал с Доставкой и НДС</t>
  </si>
  <si>
    <t>3.7</t>
  </si>
  <si>
    <t>3.15</t>
  </si>
  <si>
    <t>3.18</t>
  </si>
  <si>
    <t>Двустворчатая дверь – люк, со скрытой коробкой. Ручки – подпружиненный механизм открывания и солинодный замок, СКУД. 1500x2100</t>
  </si>
  <si>
    <t>Дверь стальная глухая однопольная 900х2200(h)</t>
  </si>
  <si>
    <t>Дверь остекленная однопольная 1150х2200(h) EIWS60. Дверь с порогом, уплотнителем, доводчиком, электромагнитным фиксатором.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</si>
  <si>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</si>
  <si>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</si>
  <si>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</si>
  <si>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</si>
  <si>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</si>
  <si>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</si>
  <si>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</si>
  <si>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</si>
  <si>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</si>
  <si>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</si>
  <si>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</si>
  <si>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</si>
  <si>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</si>
  <si>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</si>
  <si>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</si>
  <si>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</si>
  <si>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</si>
  <si>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</si>
  <si>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</si>
  <si>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</si>
  <si>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</si>
  <si>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</si>
  <si>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</si>
  <si>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5.24</t>
  </si>
  <si>
    <t>5.25</t>
  </si>
  <si>
    <t>5.26</t>
  </si>
  <si>
    <t>5.27</t>
  </si>
  <si>
    <t>5.28</t>
  </si>
  <si>
    <t>5.29</t>
  </si>
  <si>
    <t>5.30</t>
  </si>
  <si>
    <t>5.31</t>
  </si>
  <si>
    <t>5.32</t>
  </si>
  <si>
    <t>5.33</t>
  </si>
  <si>
    <t>5.34</t>
  </si>
  <si>
    <t>5.35</t>
  </si>
  <si>
    <t>5.36</t>
  </si>
  <si>
    <t>5.37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</si>
  <si>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</si>
  <si>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</si>
  <si>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</si>
  <si>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</si>
  <si>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</si>
  <si>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</si>
  <si>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</si>
  <si>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</si>
  <si>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</si>
  <si>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</si>
  <si>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</si>
  <si>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</si>
  <si>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</si>
  <si>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</si>
  <si>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</si>
  <si>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</si>
  <si>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</si>
  <si>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</si>
  <si>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</si>
  <si>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</si>
  <si>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</si>
  <si>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</si>
  <si>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</si>
  <si>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</si>
  <si>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</si>
  <si>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</si>
  <si>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</si>
  <si>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Подсистема для НВФ "Альтернатива", под облицовку стеклопакетами однокамерными</t>
  </si>
  <si>
    <t>Подсистема для НВФ "Альтернатива", под облицовку металлическими кассетами RAL 7021</t>
  </si>
  <si>
    <t>Подсистема для НВФ "Альтернатива", под облицовку металлическими кассетами RAL 8025</t>
  </si>
  <si>
    <t>Подсистема для НВФ "Альтернатива", под облицовку рельефными керамическими панелями, толщ. 70мм.</t>
  </si>
  <si>
    <t>Подсистема для НВФ "Альтернатива", под облицовку керамическими панелями, толщ. 21мм.</t>
  </si>
  <si>
    <t>Подсистема для НВФ "Альтернатива", под облицовку клинкерной плиткой под кирпич.</t>
  </si>
  <si>
    <t>2 416</t>
  </si>
  <si>
    <t>2 063</t>
  </si>
  <si>
    <t>3 378</t>
  </si>
  <si>
    <t>2 620</t>
  </si>
  <si>
    <t>2 390</t>
  </si>
  <si>
    <t>5 665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</si>
</sst>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_-* #,##0_р_._-;\-* #,##0_р_._-;_-* &quot;-&quot;??_р_._-;_-@"/>
  </numFmts>
  <fonts count="15" x14ac:knownFonts="1">
    <font>
      <sz val="10"/>
      <color rgb="FF000000"/>
      <name val="Arial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8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13"/>
      <color rgb="FF000000"/>
      <name val="Times New Roman"/>
      <family val="1"/>
      <charset val="204"/>
    </font>
    <font>
      <sz val="13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u/>
      <sz val="13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7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0" fillId="0" borderId="0" xfId="1" applyFont="1" applyBorder="1" applyAlignment="1">
      <alignment vertical="center" wrapText="1"/>
    </xf>
    <xf numFmtId="0" fontId="11" fillId="0" borderId="0" xfId="1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4" fillId="3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3" fontId="9" fillId="0" borderId="1" xfId="1" applyNumberFormat="1" applyFont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 wrapText="1"/>
    </xf>
    <xf numFmtId="0" fontId="2" fillId="0" borderId="0" xfId="0" applyFont="1" applyBorder="1" applyAlignment="1"/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65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2">
    <cellStyle name="Обычный" xfId="0" builtinId="0"/>
    <cellStyle name="Обычный 2" xfId="1" xr:uid="{E19D6D40-6F38-479C-AD2D-1C560FD0686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sd2DsA-GuUv6hpCRy250KhwEd58ELYUH/view?usp=drive_link" TargetMode="External"/><Relationship Id="rId21" Type="http://schemas.openxmlformats.org/officeDocument/2006/relationships/hyperlink" Target="https://drive.google.com/file/d/1KoB2FhOTacPRgZ60e0A7Wc07QlNgKcfO/view?usp=drive_link" TargetMode="External"/><Relationship Id="rId42" Type="http://schemas.openxmlformats.org/officeDocument/2006/relationships/hyperlink" Target="https://docs.google.com/spreadsheets/d/1nvb5G7oFYGgcfgk7ZWJaseMQzWFQGTMZ/edit?usp=drive_link&amp;ouid=101335042477239293290&amp;rtpof=true&amp;sd=true" TargetMode="External"/><Relationship Id="rId63" Type="http://schemas.openxmlformats.org/officeDocument/2006/relationships/hyperlink" Target="https://drive.google.com/file/d/1Ru56H8OVNR1le-GXrnGdRsOVLVG0XrQj/view?usp=drive_link" TargetMode="External"/><Relationship Id="rId84" Type="http://schemas.openxmlformats.org/officeDocument/2006/relationships/hyperlink" Target="https://drive.google.com/file/d/1BbjcKrpxvTEBMPYU1D0GvMxDcMQoEEjI/view?usp=drive_link" TargetMode="External"/><Relationship Id="rId138" Type="http://schemas.openxmlformats.org/officeDocument/2006/relationships/hyperlink" Target="https://docs.google.com/spreadsheets/d/1jTM1T390AP7gLtqCPdLz3wwqRPS2pi-i/edit?usp=drive_link&amp;ouid=104832552226285151152&amp;rtpof=true&amp;sd=true" TargetMode="External"/><Relationship Id="rId159" Type="http://schemas.openxmlformats.org/officeDocument/2006/relationships/hyperlink" Target="https://drive.google.com/file/d/1-AfWquNE7_E2huS7rieMxxklvPO1yevV/view?usp=drive_link" TargetMode="External"/><Relationship Id="rId170" Type="http://schemas.openxmlformats.org/officeDocument/2006/relationships/hyperlink" Target="https://docs.google.com/spreadsheets/d/1hCU7ZZIHBQn9gwhnOBnMXq-3ldPD8bGN/edit?usp=drive_link&amp;ouid=113857163255088567593&amp;rtpof=true&amp;sd=true" TargetMode="External"/><Relationship Id="rId107" Type="http://schemas.openxmlformats.org/officeDocument/2006/relationships/hyperlink" Target="https://drive.google.com/file/d/1MnYkyIx4BlmVtTwifofpNK2d11tn6ILE/view" TargetMode="External"/><Relationship Id="rId11" Type="http://schemas.openxmlformats.org/officeDocument/2006/relationships/hyperlink" Target="https://drive.google.com/file/d/1EvAd_zz5uyDE9zcKGysVXEZEkPjh5RQl/view?usp=drive_link" TargetMode="External"/><Relationship Id="rId32" Type="http://schemas.openxmlformats.org/officeDocument/2006/relationships/hyperlink" Target="https://drive.google.com/file/d/1aaTlrG2XTGNRfDslllP5dVo6k8Hvj3xq/view?usp=sharing" TargetMode="External"/><Relationship Id="rId53" Type="http://schemas.openxmlformats.org/officeDocument/2006/relationships/hyperlink" Target="https://drive.google.com/file/d/17KsYAzJKNpVPQuoORUw60cXPDGSrX06z/view?usp=drive_link" TargetMode="External"/><Relationship Id="rId74" Type="http://schemas.openxmlformats.org/officeDocument/2006/relationships/hyperlink" Target="https://drive.google.com/file/d/11f1fd-qjOx8nB4PVz4m5SIPj_5msBTGv/view?usp=drive_link" TargetMode="External"/><Relationship Id="rId128" Type="http://schemas.openxmlformats.org/officeDocument/2006/relationships/hyperlink" Target="https://drive.google.com/file/d/1hyWuxo8SRUzA6k8fKGz8crGa2cOHaBkw/view?usp=drive_link" TargetMode="External"/><Relationship Id="rId149" Type="http://schemas.openxmlformats.org/officeDocument/2006/relationships/hyperlink" Target="https://drive.google.com/file/d/1DtCO7OboFkDvcKtXDUvw3v2a_a2LgVyc/view?usp=drive_link" TargetMode="External"/><Relationship Id="rId5" Type="http://schemas.openxmlformats.org/officeDocument/2006/relationships/hyperlink" Target="https://drive.google.com/file/d/17AGyHcYvLkVCaMuAlpLWv7d73aVZFAsG/view?usp=drive_link" TargetMode="External"/><Relationship Id="rId95" Type="http://schemas.openxmlformats.org/officeDocument/2006/relationships/hyperlink" Target="https://drive.google.com/file/d/1BrNt9m_HtSVgnUFOMrmVqx7l7-bmTJxV/view?usp=drive_link" TargetMode="External"/><Relationship Id="rId160" Type="http://schemas.openxmlformats.org/officeDocument/2006/relationships/hyperlink" Target="https://docs.google.com/spreadsheets/d/1j1Ulv8v5puWDqaojwXzvdnpann8S6_hn/edit?usp=drive_link&amp;ouid=113857163255088567593&amp;rtpof=true&amp;sd=true" TargetMode="External"/><Relationship Id="rId22" Type="http://schemas.openxmlformats.org/officeDocument/2006/relationships/hyperlink" Target="https://drive.google.com/file/d/1KoB2FhOTacPRgZ60e0A7Wc07QlNgKcfO/view?usp=drive_link" TargetMode="External"/><Relationship Id="rId43" Type="http://schemas.openxmlformats.org/officeDocument/2006/relationships/hyperlink" Target="https://docs.google.com/spreadsheets/d/1nvb5G7oFYGgcfgk7ZWJaseMQzWFQGTMZ/edit?usp=drive_link&amp;ouid=101335042477239293290&amp;rtpof=true&amp;sd=true" TargetMode="External"/><Relationship Id="rId64" Type="http://schemas.openxmlformats.org/officeDocument/2006/relationships/hyperlink" Target="https://drive.google.com/file/d/1ImIQrakD6UgjYhmPHGVPdukHIXeCdQg4/view?usp=drive_link" TargetMode="External"/><Relationship Id="rId118" Type="http://schemas.openxmlformats.org/officeDocument/2006/relationships/hyperlink" Target="https://drive.google.com/file/d/1i-UHtxXphIAR6VDcY-JTvEHm3qWnFM95/view?usp=drive_link" TargetMode="External"/><Relationship Id="rId139" Type="http://schemas.openxmlformats.org/officeDocument/2006/relationships/hyperlink" Target="https://docs.google.com/spreadsheets/d/1jTM1T390AP7gLtqCPdLz3wwqRPS2pi-i/edit?usp=drive_link&amp;ouid=104832552226285151152&amp;rtpof=true&amp;sd=true" TargetMode="External"/><Relationship Id="rId85" Type="http://schemas.openxmlformats.org/officeDocument/2006/relationships/hyperlink" Target="https://drive.google.com/file/d/1NSZTPtlDBotabdlqXg_Vkg0G97ivFaGo/view?usp=drive_link" TargetMode="External"/><Relationship Id="rId150" Type="http://schemas.openxmlformats.org/officeDocument/2006/relationships/hyperlink" Target="https://docs.google.com/spreadsheets/d/1jTM1T390AP7gLtqCPdLz3wwqRPS2pi-i/edit?usp=drive_link&amp;ouid=104832552226285151152&amp;rtpof=true&amp;sd=true" TargetMode="External"/><Relationship Id="rId171" Type="http://schemas.openxmlformats.org/officeDocument/2006/relationships/hyperlink" Target="https://drive.google.com/file/d/1EvAd_zz5uyDE9zcKGysVXEZEkPjh5RQl/view?usp=drive_link" TargetMode="External"/><Relationship Id="rId12" Type="http://schemas.openxmlformats.org/officeDocument/2006/relationships/hyperlink" Target="https://drive.google.com/file/d/1EvAd_zz5uyDE9zcKGysVXEZEkPjh5RQl/view?usp=drive_link" TargetMode="External"/><Relationship Id="rId33" Type="http://schemas.openxmlformats.org/officeDocument/2006/relationships/hyperlink" Target="https://docs.google.com/spreadsheets/d/1nvb5G7oFYGgcfgk7ZWJaseMQzWFQGTMZ/edit?usp=drive_link&amp;ouid=101335042477239293290&amp;rtpof=true&amp;sd=true" TargetMode="External"/><Relationship Id="rId108" Type="http://schemas.openxmlformats.org/officeDocument/2006/relationships/hyperlink" Target="https://drive.google.com/file/d/1MnYkyIx4BlmVtTwifofpNK2d11tn6ILE/view" TargetMode="External"/><Relationship Id="rId129" Type="http://schemas.openxmlformats.org/officeDocument/2006/relationships/hyperlink" Target="https://docs.google.com/spreadsheets/d/1jTM1T390AP7gLtqCPdLz3wwqRPS2pi-i/edit?usp=drive_link&amp;ouid=104832552226285151152&amp;rtpof=true&amp;sd=true" TargetMode="External"/><Relationship Id="rId54" Type="http://schemas.openxmlformats.org/officeDocument/2006/relationships/hyperlink" Target="https://drive.google.com/file/d/1ZrDSGK7vXdE_DYXZmeozmO1cJrtKIfLz/view?usp=drive_link" TargetMode="External"/><Relationship Id="rId70" Type="http://schemas.openxmlformats.org/officeDocument/2006/relationships/hyperlink" Target="https://drive.google.com/file/d/1WkDRoecz2ImPEG8I1BUdD-Uz1F4jhYNd/view?usp=drive_link" TargetMode="External"/><Relationship Id="rId75" Type="http://schemas.openxmlformats.org/officeDocument/2006/relationships/hyperlink" Target="https://drive.google.com/file/d/1k_X4ZYim9J_BNUWbPa2IvI-C6aCwDPuz/view?usp=drive_link" TargetMode="External"/><Relationship Id="rId91" Type="http://schemas.openxmlformats.org/officeDocument/2006/relationships/hyperlink" Target="https://drive.google.com/file/d/1H_6Y8iCCoE8WXAt49rm6XKoN4ERHS3GZ/view?usp=drive_link" TargetMode="External"/><Relationship Id="rId96" Type="http://schemas.openxmlformats.org/officeDocument/2006/relationships/hyperlink" Target="https://drive.google.com/file/d/1BrNt9m_HtSVgnUFOMrmVqx7l7-bmTJxV/view?usp=drive_link" TargetMode="External"/><Relationship Id="rId140" Type="http://schemas.openxmlformats.org/officeDocument/2006/relationships/hyperlink" Target="https://docs.google.com/spreadsheets/d/1jTM1T390AP7gLtqCPdLz3wwqRPS2pi-i/edit?usp=drive_link&amp;ouid=104832552226285151152&amp;rtpof=true&amp;sd=true" TargetMode="External"/><Relationship Id="rId145" Type="http://schemas.openxmlformats.org/officeDocument/2006/relationships/hyperlink" Target="https://drive.google.com/file/d/1i-UHtxXphIAR6VDcY-JTvEHm3qWnFM95/view?usp=drive_link" TargetMode="External"/><Relationship Id="rId161" Type="http://schemas.openxmlformats.org/officeDocument/2006/relationships/hyperlink" Target="https://docs.google.com/spreadsheets/d/1W5-2Xbi-S5GUVeBdsjSHh4C-XVRj9VbK/edit?usp=drive_link&amp;ouid=113857163255088567593&amp;rtpof=true&amp;sd=true" TargetMode="External"/><Relationship Id="rId166" Type="http://schemas.openxmlformats.org/officeDocument/2006/relationships/hyperlink" Target="https://docs.google.com/spreadsheets/d/1W5-2Xbi-S5GUVeBdsjSHh4C-XVRj9VbK/edit?usp=drive_link&amp;ouid=113857163255088567593&amp;rtpof=true&amp;sd=true" TargetMode="External"/><Relationship Id="rId1" Type="http://schemas.openxmlformats.org/officeDocument/2006/relationships/hyperlink" Target="https://docs.google.com/spreadsheets/d/17TPuz7QrKNtjDi0Dba3ZdAU5jM7vdEIf/edit?usp=drive_link&amp;ouid=101530738218056544453&amp;rtpof=true&amp;sd=true" TargetMode="External"/><Relationship Id="rId6" Type="http://schemas.openxmlformats.org/officeDocument/2006/relationships/hyperlink" Target="https://drive.google.com/file/d/17AGyHcYvLkVCaMuAlpLWv7d73aVZFAsG/view?usp=drive_link" TargetMode="External"/><Relationship Id="rId23" Type="http://schemas.openxmlformats.org/officeDocument/2006/relationships/hyperlink" Target="https://drive.google.com/file/d/1KoB2FhOTacPRgZ60e0A7Wc07QlNgKcfO/view?usp=drive_link" TargetMode="External"/><Relationship Id="rId28" Type="http://schemas.openxmlformats.org/officeDocument/2006/relationships/hyperlink" Target="https://drive.google.com/file/d/1aaTlrG2XTGNRfDslllP5dVo6k8Hvj3xq/view?usp=sharing" TargetMode="External"/><Relationship Id="rId49" Type="http://schemas.openxmlformats.org/officeDocument/2006/relationships/hyperlink" Target="https://docs.google.com/spreadsheets/d/1fHB7fwJ08gQq98tUAlKvg0XVQ3FcjUQ-/edit?usp=drive_link&amp;ouid=100633075102502482905&amp;rtpof=true&amp;sd=true" TargetMode="External"/><Relationship Id="rId114" Type="http://schemas.openxmlformats.org/officeDocument/2006/relationships/hyperlink" Target="https://drive.google.com/file/d/1MnYkyIx4BlmVtTwifofpNK2d11tn6ILE/view" TargetMode="External"/><Relationship Id="rId119" Type="http://schemas.openxmlformats.org/officeDocument/2006/relationships/hyperlink" Target="https://drive.google.com/file/d/1_Zy8ZtxrBC6MrK6zbT8sDaL4J7t05Yil/view?usp=drive_link" TargetMode="External"/><Relationship Id="rId44" Type="http://schemas.openxmlformats.org/officeDocument/2006/relationships/hyperlink" Target="https://docs.google.com/spreadsheets/d/1nvb5G7oFYGgcfgk7ZWJaseMQzWFQGTMZ/edit?usp=drive_link&amp;ouid=101335042477239293290&amp;rtpof=true&amp;sd=true" TargetMode="External"/><Relationship Id="rId60" Type="http://schemas.openxmlformats.org/officeDocument/2006/relationships/hyperlink" Target="https://drive.google.com/file/d/1NSZTPtlDBotabdlqXg_Vkg0G97ivFaGo/view?usp=drive_link" TargetMode="External"/><Relationship Id="rId65" Type="http://schemas.openxmlformats.org/officeDocument/2006/relationships/hyperlink" Target="https://drive.google.com/file/d/1b21ry55nGb1HQYRzirx2-4pCouxywV5c/view?usp=drive_link" TargetMode="External"/><Relationship Id="rId81" Type="http://schemas.openxmlformats.org/officeDocument/2006/relationships/hyperlink" Target="https://drive.google.com/file/d/1BbjcKrpxvTEBMPYU1D0GvMxDcMQoEEjI/view?usp=drive_link" TargetMode="External"/><Relationship Id="rId86" Type="http://schemas.openxmlformats.org/officeDocument/2006/relationships/hyperlink" Target="https://drive.google.com/file/d/1PyC72xFjm_jVrOOK-P_6BP7VbeFw7De8/view?usp=drive_link" TargetMode="External"/><Relationship Id="rId130" Type="http://schemas.openxmlformats.org/officeDocument/2006/relationships/hyperlink" Target="https://docs.google.com/spreadsheets/d/1Q_AD0qPswhGrGc5YSQ7jizCvNUToqNlT/edit?usp=drive_link&amp;ouid=104832552226285151152&amp;rtpof=true&amp;sd=true" TargetMode="External"/><Relationship Id="rId135" Type="http://schemas.openxmlformats.org/officeDocument/2006/relationships/hyperlink" Target="https://docs.google.com/spreadsheets/d/1jTM1T390AP7gLtqCPdLz3wwqRPS2pi-i/edit?usp=drive_link&amp;ouid=104832552226285151152&amp;rtpof=true&amp;sd=true" TargetMode="External"/><Relationship Id="rId151" Type="http://schemas.openxmlformats.org/officeDocument/2006/relationships/hyperlink" Target="https://docs.google.com/spreadsheets/d/14EBOdMQ2i3qUyU78szlUnPg32qAC4xSF/edit?usp=drive_link&amp;ouid=113857163255088567593&amp;rtpof=true&amp;sd=true" TargetMode="External"/><Relationship Id="rId156" Type="http://schemas.openxmlformats.org/officeDocument/2006/relationships/hyperlink" Target="https://drive.google.com/file/d/1f8Z1ysNXyySAgSVk-lnr10-voIPOke4u/view?usp=drive_link" TargetMode="External"/><Relationship Id="rId172" Type="http://schemas.openxmlformats.org/officeDocument/2006/relationships/printerSettings" Target="../printerSettings/printerSettings1.bin"/><Relationship Id="rId13" Type="http://schemas.openxmlformats.org/officeDocument/2006/relationships/hyperlink" Target="https://drive.google.com/file/d/1EvAd_zz5uyDE9zcKGysVXEZEkPjh5RQl/view?usp=drive_link" TargetMode="External"/><Relationship Id="rId18" Type="http://schemas.openxmlformats.org/officeDocument/2006/relationships/hyperlink" Target="https://drive.google.com/file/d/1nwM3hcJq2oPLCcotd9CmWDCOKBEWzSMm/view?usp=drive_link" TargetMode="External"/><Relationship Id="rId39" Type="http://schemas.openxmlformats.org/officeDocument/2006/relationships/hyperlink" Target="https://docs.google.com/spreadsheets/d/1nvb5G7oFYGgcfgk7ZWJaseMQzWFQGTMZ/edit?usp=drive_link&amp;ouid=101335042477239293290&amp;rtpof=true&amp;sd=true" TargetMode="External"/><Relationship Id="rId109" Type="http://schemas.openxmlformats.org/officeDocument/2006/relationships/hyperlink" Target="https://drive.google.com/file/d/1MnYkyIx4BlmVtTwifofpNK2d11tn6ILE/view" TargetMode="External"/><Relationship Id="rId34" Type="http://schemas.openxmlformats.org/officeDocument/2006/relationships/hyperlink" Target="https://docs.google.com/spreadsheets/d/1nvb5G7oFYGgcfgk7ZWJaseMQzWFQGTMZ/edit?usp=drive_link&amp;ouid=101335042477239293290&amp;rtpof=true&amp;sd=true" TargetMode="External"/><Relationship Id="rId50" Type="http://schemas.openxmlformats.org/officeDocument/2006/relationships/hyperlink" Target="https://docs.google.com/spreadsheets/d/1fHB7fwJ08gQq98tUAlKvg0XVQ3FcjUQ-/edit?usp=drive_link&amp;ouid=100633075102502482905&amp;rtpof=true&amp;sd=true" TargetMode="External"/><Relationship Id="rId55" Type="http://schemas.openxmlformats.org/officeDocument/2006/relationships/hyperlink" Target="https://drive.google.com/file/d/1luM3_tUYrV0nbJbvZN7oOi_zGgGuxFsd/view?usp=drive_link" TargetMode="External"/><Relationship Id="rId76" Type="http://schemas.openxmlformats.org/officeDocument/2006/relationships/hyperlink" Target="https://drive.google.com/file/d/1k_X4ZYim9J_BNUWbPa2IvI-C6aCwDPuz/view?usp=drive_link" TargetMode="External"/><Relationship Id="rId97" Type="http://schemas.openxmlformats.org/officeDocument/2006/relationships/hyperlink" Target="https://drive.google.com/file/d/1PWrra74V_4LOe4yZGieMIDos1n4zyVQi/view?usp=drive_link" TargetMode="External"/><Relationship Id="rId104" Type="http://schemas.openxmlformats.org/officeDocument/2006/relationships/hyperlink" Target="https://drive.google.com/file/d/1MnYkyIx4BlmVtTwifofpNK2d11tn6ILE/view" TargetMode="External"/><Relationship Id="rId120" Type="http://schemas.openxmlformats.org/officeDocument/2006/relationships/hyperlink" Target="https://docs.google.com/spreadsheets/d/1jTM1T390AP7gLtqCPdLz3wwqRPS2pi-i/edit?usp=drive_link&amp;ouid=104832552226285151152&amp;rtpof=true&amp;sd=true" TargetMode="External"/><Relationship Id="rId125" Type="http://schemas.openxmlformats.org/officeDocument/2006/relationships/hyperlink" Target="https://docs.google.com/spreadsheets/d/1jTM1T390AP7gLtqCPdLz3wwqRPS2pi-i/edit?usp=drive_link&amp;ouid=104832552226285151152&amp;rtpof=true&amp;sd=true" TargetMode="External"/><Relationship Id="rId141" Type="http://schemas.openxmlformats.org/officeDocument/2006/relationships/hyperlink" Target="https://docs.google.com/spreadsheets/d/1jTM1T390AP7gLtqCPdLz3wwqRPS2pi-i/edit?usp=drive_link&amp;ouid=104832552226285151152&amp;rtpof=true&amp;sd=true" TargetMode="External"/><Relationship Id="rId146" Type="http://schemas.openxmlformats.org/officeDocument/2006/relationships/hyperlink" Target="https://drive.google.com/file/d/1i-UHtxXphIAR6VDcY-JTvEHm3qWnFM95/view?usp=drive_link" TargetMode="External"/><Relationship Id="rId167" Type="http://schemas.openxmlformats.org/officeDocument/2006/relationships/hyperlink" Target="https://docs.google.com/spreadsheets/d/1W5-2Xbi-S5GUVeBdsjSHh4C-XVRj9VbK/edit?usp=drive_link&amp;ouid=113857163255088567593&amp;rtpof=true&amp;sd=true" TargetMode="External"/><Relationship Id="rId7" Type="http://schemas.openxmlformats.org/officeDocument/2006/relationships/hyperlink" Target="https://drive.google.com/file/d/1EvAd_zz5uyDE9zcKGysVXEZEkPjh5RQl/view?usp=drive_link" TargetMode="External"/><Relationship Id="rId71" Type="http://schemas.openxmlformats.org/officeDocument/2006/relationships/hyperlink" Target="https://drive.google.com/file/d/1nkwoBGIjCGGgp7723yLA_DgvGRZUf87d/view?usp=drive_link" TargetMode="External"/><Relationship Id="rId92" Type="http://schemas.openxmlformats.org/officeDocument/2006/relationships/hyperlink" Target="https://docs.google.com/spreadsheets/d/1NBZWHEDLFgRXQV3mdBLy8Vl1Raw-CgHH/edit?usp=drive_link&amp;ouid=113857163255088567593&amp;rtpof=true&amp;sd=true" TargetMode="External"/><Relationship Id="rId162" Type="http://schemas.openxmlformats.org/officeDocument/2006/relationships/hyperlink" Target="https://docs.google.com/spreadsheets/d/1j1Ulv8v5puWDqaojwXzvdnpann8S6_hn/edit?usp=drive_link&amp;ouid=113857163255088567593&amp;rtpof=true&amp;sd=true" TargetMode="External"/><Relationship Id="rId2" Type="http://schemas.openxmlformats.org/officeDocument/2006/relationships/hyperlink" Target="https://drive.google.com/file/d/17AGyHcYvLkVCaMuAlpLWv7d73aVZFAsG/view?usp=drive_link" TargetMode="External"/><Relationship Id="rId29" Type="http://schemas.openxmlformats.org/officeDocument/2006/relationships/hyperlink" Target="https://drive.google.com/file/d/1aaTlrG2XTGNRfDslllP5dVo6k8Hvj3xq/view?usp=sharing" TargetMode="External"/><Relationship Id="rId24" Type="http://schemas.openxmlformats.org/officeDocument/2006/relationships/hyperlink" Target="https://drive.google.com/file/d/1KoB2FhOTacPRgZ60e0A7Wc07QlNgKcfO/view?usp=drive_link" TargetMode="External"/><Relationship Id="rId40" Type="http://schemas.openxmlformats.org/officeDocument/2006/relationships/hyperlink" Target="https://docs.google.com/spreadsheets/d/1nvb5G7oFYGgcfgk7ZWJaseMQzWFQGTMZ/edit?usp=drive_link&amp;ouid=101335042477239293290&amp;rtpof=true&amp;sd=true" TargetMode="External"/><Relationship Id="rId45" Type="http://schemas.openxmlformats.org/officeDocument/2006/relationships/hyperlink" Target="https://docs.google.com/spreadsheets/d/1fHB7fwJ08gQq98tUAlKvg0XVQ3FcjUQ-/edit?usp=drive_link&amp;ouid=100633075102502482905&amp;rtpof=true&amp;sd=true" TargetMode="External"/><Relationship Id="rId66" Type="http://schemas.openxmlformats.org/officeDocument/2006/relationships/hyperlink" Target="https://drive.google.com/file/d/1Hw2SNwzsmdTEmoBOFA7ynvI0OwtLMrz8/view?usp=drive_link" TargetMode="External"/><Relationship Id="rId87" Type="http://schemas.openxmlformats.org/officeDocument/2006/relationships/hyperlink" Target="https://drive.google.com/file/d/1PyC72xFjm_jVrOOK-P_6BP7VbeFw7De8/view?usp=drive_link" TargetMode="External"/><Relationship Id="rId110" Type="http://schemas.openxmlformats.org/officeDocument/2006/relationships/hyperlink" Target="https://drive.google.com/file/d/1MnYkyIx4BlmVtTwifofpNK2d11tn6ILE/view" TargetMode="External"/><Relationship Id="rId115" Type="http://schemas.openxmlformats.org/officeDocument/2006/relationships/hyperlink" Target="https://drive.google.com/file/d/1MnYkyIx4BlmVtTwifofpNK2d11tn6ILE/view" TargetMode="External"/><Relationship Id="rId131" Type="http://schemas.openxmlformats.org/officeDocument/2006/relationships/hyperlink" Target="https://docs.google.com/spreadsheets/d/1jTM1T390AP7gLtqCPdLz3wwqRPS2pi-i/edit?usp=drive_link&amp;ouid=104832552226285151152&amp;rtpof=true&amp;sd=true" TargetMode="External"/><Relationship Id="rId136" Type="http://schemas.openxmlformats.org/officeDocument/2006/relationships/hyperlink" Target="https://docs.google.com/spreadsheets/d/1jTM1T390AP7gLtqCPdLz3wwqRPS2pi-i/edit?usp=drive_link&amp;ouid=104832552226285151152&amp;rtpof=true&amp;sd=true" TargetMode="External"/><Relationship Id="rId157" Type="http://schemas.openxmlformats.org/officeDocument/2006/relationships/hyperlink" Target="https://drive.google.com/file/d/1JfSKogxKlXGTSWHQQ_wZWRDFaEdue7Cm/view?usp=drive_link" TargetMode="External"/><Relationship Id="rId61" Type="http://schemas.openxmlformats.org/officeDocument/2006/relationships/hyperlink" Target="https://drive.google.com/file/d/1Ybgae_4brqfy4N81j4ThPcemmSSrsNc4/view?usp=drive_link" TargetMode="External"/><Relationship Id="rId82" Type="http://schemas.openxmlformats.org/officeDocument/2006/relationships/hyperlink" Target="https://drive.google.com/file/d/1BbjcKrpxvTEBMPYU1D0GvMxDcMQoEEjI/view?usp=drive_link" TargetMode="External"/><Relationship Id="rId152" Type="http://schemas.openxmlformats.org/officeDocument/2006/relationships/hyperlink" Target="https://docs.google.com/spreadsheets/d/14EBOdMQ2i3qUyU78szlUnPg32qAC4xSF/edit?usp=drive_link&amp;ouid=113857163255088567593&amp;rtpof=true&amp;sd=true" TargetMode="External"/><Relationship Id="rId19" Type="http://schemas.openxmlformats.org/officeDocument/2006/relationships/hyperlink" Target="https://drive.google.com/file/d/1T_C_sbPC3d6-kHNOr39E1Ei4qvwPkqHF/view?usp=drive_link" TargetMode="External"/><Relationship Id="rId14" Type="http://schemas.openxmlformats.org/officeDocument/2006/relationships/hyperlink" Target="https://drive.google.com/file/d/1EvAd_zz5uyDE9zcKGysVXEZEkPjh5RQl/view?usp=drive_link" TargetMode="External"/><Relationship Id="rId30" Type="http://schemas.openxmlformats.org/officeDocument/2006/relationships/hyperlink" Target="https://drive.google.com/file/d/1aaTlrG2XTGNRfDslllP5dVo6k8Hvj3xq/view?usp=sharing" TargetMode="External"/><Relationship Id="rId35" Type="http://schemas.openxmlformats.org/officeDocument/2006/relationships/hyperlink" Target="https://docs.google.com/spreadsheets/d/1nvb5G7oFYGgcfgk7ZWJaseMQzWFQGTMZ/edit?usp=drive_link&amp;ouid=101335042477239293290&amp;rtpof=true&amp;sd=true" TargetMode="External"/><Relationship Id="rId56" Type="http://schemas.openxmlformats.org/officeDocument/2006/relationships/hyperlink" Target="https://drive.google.com/file/d/1PyC72xFjm_jVrOOK-P_6BP7VbeFw7De8/view?usp=drive_link" TargetMode="External"/><Relationship Id="rId77" Type="http://schemas.openxmlformats.org/officeDocument/2006/relationships/hyperlink" Target="https://drive.google.com/file/d/1LlN7QGl0AA8g5RB6fyAHQoeRDt41Q1T4/view?usp=drive_link" TargetMode="External"/><Relationship Id="rId100" Type="http://schemas.openxmlformats.org/officeDocument/2006/relationships/hyperlink" Target="https://drive.google.com/file/d/1MnYkyIx4BlmVtTwifofpNK2d11tn6ILE/view" TargetMode="External"/><Relationship Id="rId105" Type="http://schemas.openxmlformats.org/officeDocument/2006/relationships/hyperlink" Target="https://drive.google.com/file/d/1MnYkyIx4BlmVtTwifofpNK2d11tn6ILE/view" TargetMode="External"/><Relationship Id="rId126" Type="http://schemas.openxmlformats.org/officeDocument/2006/relationships/hyperlink" Target="https://docs.google.com/spreadsheets/d/1jTM1T390AP7gLtqCPdLz3wwqRPS2pi-i/edit?usp=drive_link&amp;ouid=104832552226285151152&amp;rtpof=true&amp;sd=true" TargetMode="External"/><Relationship Id="rId147" Type="http://schemas.openxmlformats.org/officeDocument/2006/relationships/hyperlink" Target="https://drive.google.com/file/d/1qVP6njSSFANvh6Crix6PmNWI1-aUVfkY/view?usp=drive_link" TargetMode="External"/><Relationship Id="rId168" Type="http://schemas.openxmlformats.org/officeDocument/2006/relationships/hyperlink" Target="https://drive.google.com/file/d/1-AfWquNE7_E2huS7rieMxxklvPO1yevV/view?usp=drive_link" TargetMode="External"/><Relationship Id="rId8" Type="http://schemas.openxmlformats.org/officeDocument/2006/relationships/hyperlink" Target="https://drive.google.com/file/d/1EvAd_zz5uyDE9zcKGysVXEZEkPjh5RQl/view?usp=drive_link" TargetMode="External"/><Relationship Id="rId51" Type="http://schemas.openxmlformats.org/officeDocument/2006/relationships/hyperlink" Target="https://drive.google.com/file/d/1aaTlrG2XTGNRfDslllP5dVo6k8Hvj3xq/view?usp=sharing" TargetMode="External"/><Relationship Id="rId72" Type="http://schemas.openxmlformats.org/officeDocument/2006/relationships/hyperlink" Target="https://drive.google.com/file/d/1-45lhCJ4vnajtG1H2z2Wxy3Fz1DqT7sl/view?usp=drive_link" TargetMode="External"/><Relationship Id="rId93" Type="http://schemas.openxmlformats.org/officeDocument/2006/relationships/hyperlink" Target="https://docs.google.com/spreadsheets/d/1NBZWHEDLFgRXQV3mdBLy8Vl1Raw-CgHH/edit?usp=drive_link&amp;ouid=113857163255088567593&amp;rtpof=true&amp;sd=true" TargetMode="External"/><Relationship Id="rId98" Type="http://schemas.openxmlformats.org/officeDocument/2006/relationships/hyperlink" Target="https://drive.google.com/file/d/1Y-Rjax5pLXEDKu9YVh5aE54XWNMG1kKv/view?usp=drive_link" TargetMode="External"/><Relationship Id="rId121" Type="http://schemas.openxmlformats.org/officeDocument/2006/relationships/hyperlink" Target="https://docs.google.com/spreadsheets/d/1jTM1T390AP7gLtqCPdLz3wwqRPS2pi-i/edit?usp=drive_link&amp;ouid=104832552226285151152&amp;rtpof=true&amp;sd=true" TargetMode="External"/><Relationship Id="rId142" Type="http://schemas.openxmlformats.org/officeDocument/2006/relationships/hyperlink" Target="https://drive.google.com/file/d/1gQsYPkq1yZGiesJ06ptelA5f8fLlVKY5/view?usp=drive_link" TargetMode="External"/><Relationship Id="rId163" Type="http://schemas.openxmlformats.org/officeDocument/2006/relationships/hyperlink" Target="https://docs.google.com/spreadsheets/d/1j1Ulv8v5puWDqaojwXzvdnpann8S6_hn/edit?usp=drive_link&amp;ouid=113857163255088567593&amp;rtpof=true&amp;sd=true" TargetMode="External"/><Relationship Id="rId3" Type="http://schemas.openxmlformats.org/officeDocument/2006/relationships/hyperlink" Target="https://drive.google.com/file/d/17AGyHcYvLkVCaMuAlpLWv7d73aVZFAsG/view?usp=drive_link" TargetMode="External"/><Relationship Id="rId25" Type="http://schemas.openxmlformats.org/officeDocument/2006/relationships/hyperlink" Target="https://drive.google.com/file/d/1KoB2FhOTacPRgZ60e0A7Wc07QlNgKcfO/view?usp=drive_link" TargetMode="External"/><Relationship Id="rId46" Type="http://schemas.openxmlformats.org/officeDocument/2006/relationships/hyperlink" Target="https://docs.google.com/spreadsheets/d/1fHB7fwJ08gQq98tUAlKvg0XVQ3FcjUQ-/edit?usp=drive_link&amp;ouid=100633075102502482905&amp;rtpof=true&amp;sd=true" TargetMode="External"/><Relationship Id="rId67" Type="http://schemas.openxmlformats.org/officeDocument/2006/relationships/hyperlink" Target="https://drive.google.com/file/d/1s-l_Jas_0sf28BucTTPBcIy6r0HNrVA6/view?usp=drive_link" TargetMode="External"/><Relationship Id="rId116" Type="http://schemas.openxmlformats.org/officeDocument/2006/relationships/hyperlink" Target="https://drive.google.com/file/d/1sd2DsA-GuUv6hpCRy250KhwEd58ELYUH/view?usp=drive_link" TargetMode="External"/><Relationship Id="rId137" Type="http://schemas.openxmlformats.org/officeDocument/2006/relationships/hyperlink" Target="https://drive.google.com/file/d/1gvMaQ7GaQ9OEyrES3pcesp0g3E0arYSP/view?usp=drive_link" TargetMode="External"/><Relationship Id="rId158" Type="http://schemas.openxmlformats.org/officeDocument/2006/relationships/hyperlink" Target="https://drive.google.com/file/d/1-AfWquNE7_E2huS7rieMxxklvPO1yevV/view?usp=drive_link" TargetMode="External"/><Relationship Id="rId20" Type="http://schemas.openxmlformats.org/officeDocument/2006/relationships/hyperlink" Target="https://drive.google.com/file/d/1dHCumMFlig4flzePtWNImgDEyeAqF4b8/view?usp=drive_link" TargetMode="External"/><Relationship Id="rId41" Type="http://schemas.openxmlformats.org/officeDocument/2006/relationships/hyperlink" Target="https://docs.google.com/spreadsheets/d/1nvb5G7oFYGgcfgk7ZWJaseMQzWFQGTMZ/edit?usp=drive_link&amp;ouid=101335042477239293290&amp;rtpof=true&amp;sd=true" TargetMode="External"/><Relationship Id="rId62" Type="http://schemas.openxmlformats.org/officeDocument/2006/relationships/hyperlink" Target="https://drive.google.com/file/d/1Ybgae_4brqfy4N81j4ThPcemmSSrsNc4/view?usp=drive_link" TargetMode="External"/><Relationship Id="rId83" Type="http://schemas.openxmlformats.org/officeDocument/2006/relationships/hyperlink" Target="https://drive.google.com/file/d/1-45lhCJ4vnajtG1H2z2Wxy3Fz1DqT7sl/view?usp=drive_link" TargetMode="External"/><Relationship Id="rId88" Type="http://schemas.openxmlformats.org/officeDocument/2006/relationships/hyperlink" Target="https://drive.google.com/file/d/1uo4k36BHdX2-8_ZTcHXRWrdZkNhYdau2/view?usp=drive_link" TargetMode="External"/><Relationship Id="rId111" Type="http://schemas.openxmlformats.org/officeDocument/2006/relationships/hyperlink" Target="https://drive.google.com/file/d/1MnYkyIx4BlmVtTwifofpNK2d11tn6ILE/view" TargetMode="External"/><Relationship Id="rId132" Type="http://schemas.openxmlformats.org/officeDocument/2006/relationships/hyperlink" Target="https://drive.google.com/file/d/1j4pdQiTApllVz82LJIIDJGfgCS3lvFWa/view?usp=drive_link" TargetMode="External"/><Relationship Id="rId153" Type="http://schemas.openxmlformats.org/officeDocument/2006/relationships/hyperlink" Target="https://docs.google.com/spreadsheets/d/14EBOdMQ2i3qUyU78szlUnPg32qAC4xSF/edit?usp=drive_link&amp;ouid=113857163255088567593&amp;rtpof=true&amp;sd=true" TargetMode="External"/><Relationship Id="rId15" Type="http://schemas.openxmlformats.org/officeDocument/2006/relationships/hyperlink" Target="https://drive.google.com/file/d/1EvAd_zz5uyDE9zcKGysVXEZEkPjh5RQl/view?usp=drive_link" TargetMode="External"/><Relationship Id="rId36" Type="http://schemas.openxmlformats.org/officeDocument/2006/relationships/hyperlink" Target="https://docs.google.com/spreadsheets/d/1nvb5G7oFYGgcfgk7ZWJaseMQzWFQGTMZ/edit?usp=drive_link&amp;ouid=101335042477239293290&amp;rtpof=true&amp;sd=true" TargetMode="External"/><Relationship Id="rId57" Type="http://schemas.openxmlformats.org/officeDocument/2006/relationships/hyperlink" Target="https://drive.google.com/file/d/1NJSsXbVr9rjV6DLUFqThNsyhMRVmRrsi/view?usp=drive_link" TargetMode="External"/><Relationship Id="rId106" Type="http://schemas.openxmlformats.org/officeDocument/2006/relationships/hyperlink" Target="https://drive.google.com/file/d/1MnYkyIx4BlmVtTwifofpNK2d11tn6ILE/view" TargetMode="External"/><Relationship Id="rId127" Type="http://schemas.openxmlformats.org/officeDocument/2006/relationships/hyperlink" Target="https://drive.google.com/file/d/1gQsYPkq1yZGiesJ06ptelA5f8fLlVKY5/view?usp=drive_link" TargetMode="External"/><Relationship Id="rId10" Type="http://schemas.openxmlformats.org/officeDocument/2006/relationships/hyperlink" Target="https://drive.google.com/file/d/1EvAd_zz5uyDE9zcKGysVXEZEkPjh5RQl/view?usp=drive_link" TargetMode="External"/><Relationship Id="rId31" Type="http://schemas.openxmlformats.org/officeDocument/2006/relationships/hyperlink" Target="https://drive.google.com/file/d/1aaTlrG2XTGNRfDslllP5dVo6k8Hvj3xq/view?usp=sharing" TargetMode="External"/><Relationship Id="rId52" Type="http://schemas.openxmlformats.org/officeDocument/2006/relationships/hyperlink" Target="https://drive.google.com/file/d/1aaTlrG2XTGNRfDslllP5dVo6k8Hvj3xq/view?usp=sharing" TargetMode="External"/><Relationship Id="rId73" Type="http://schemas.openxmlformats.org/officeDocument/2006/relationships/hyperlink" Target="https://drive.google.com/file/d/11XU5iprySY5a1caPfaiSnzoXuZ2BVV3p/view?usp=drive_link" TargetMode="External"/><Relationship Id="rId78" Type="http://schemas.openxmlformats.org/officeDocument/2006/relationships/hyperlink" Target="https://drive.google.com/file/d/1qFFPJtcfDFXKbfD7mcHXJYnp9iIlTx4t/view?usp=drive_link" TargetMode="External"/><Relationship Id="rId94" Type="http://schemas.openxmlformats.org/officeDocument/2006/relationships/hyperlink" Target="https://drive.google.com/file/d/1YdYHPf_7wolH2WfK5jws7GQHJVEkO2AB/view?usp=drive_link" TargetMode="External"/><Relationship Id="rId99" Type="http://schemas.openxmlformats.org/officeDocument/2006/relationships/hyperlink" Target="https://drive.google.com/file/d/13TNswHhZVOzeoI0Bm_4X4-9ZJNQfqYrV/view?usp=drive_link" TargetMode="External"/><Relationship Id="rId101" Type="http://schemas.openxmlformats.org/officeDocument/2006/relationships/hyperlink" Target="https://drive.google.com/file/d/1MnYkyIx4BlmVtTwifofpNK2d11tn6ILE/view" TargetMode="External"/><Relationship Id="rId122" Type="http://schemas.openxmlformats.org/officeDocument/2006/relationships/hyperlink" Target="https://docs.google.com/spreadsheets/d/1jTM1T390AP7gLtqCPdLz3wwqRPS2pi-i/edit?usp=drive_link&amp;ouid=104832552226285151152&amp;rtpof=true&amp;sd=true" TargetMode="External"/><Relationship Id="rId143" Type="http://schemas.openxmlformats.org/officeDocument/2006/relationships/hyperlink" Target="https://docs.google.com/spreadsheets/d/1jTM1T390AP7gLtqCPdLz3wwqRPS2pi-i/edit?usp=drive_link&amp;ouid=104832552226285151152&amp;rtpof=true&amp;sd=true" TargetMode="External"/><Relationship Id="rId148" Type="http://schemas.openxmlformats.org/officeDocument/2006/relationships/hyperlink" Target="https://drive.google.com/file/d/1qVP6njSSFANvh6Crix6PmNWI1-aUVfkY/view?usp=drive_link" TargetMode="External"/><Relationship Id="rId164" Type="http://schemas.openxmlformats.org/officeDocument/2006/relationships/hyperlink" Target="https://docs.google.com/spreadsheets/d/1W5-2Xbi-S5GUVeBdsjSHh4C-XVRj9VbK/edit?usp=drive_link&amp;ouid=113857163255088567593&amp;rtpof=true&amp;sd=true" TargetMode="External"/><Relationship Id="rId169" Type="http://schemas.openxmlformats.org/officeDocument/2006/relationships/hyperlink" Target="https://drive.google.com/file/d/1-AfWquNE7_E2huS7rieMxxklvPO1yevV/view?usp=drive_link" TargetMode="External"/><Relationship Id="rId4" Type="http://schemas.openxmlformats.org/officeDocument/2006/relationships/hyperlink" Target="https://drive.google.com/file/d/17AGyHcYvLkVCaMuAlpLWv7d73aVZFAsG/view?usp=drive_link" TargetMode="External"/><Relationship Id="rId9" Type="http://schemas.openxmlformats.org/officeDocument/2006/relationships/hyperlink" Target="https://drive.google.com/file/d/1EvAd_zz5uyDE9zcKGysVXEZEkPjh5RQl/view?usp=drive_link" TargetMode="External"/><Relationship Id="rId26" Type="http://schemas.openxmlformats.org/officeDocument/2006/relationships/hyperlink" Target="https://drive.google.com/file/d/1aaTlrG2XTGNRfDslllP5dVo6k8Hvj3xq/view?usp=sharing" TargetMode="External"/><Relationship Id="rId47" Type="http://schemas.openxmlformats.org/officeDocument/2006/relationships/hyperlink" Target="https://docs.google.com/spreadsheets/d/1fHB7fwJ08gQq98tUAlKvg0XVQ3FcjUQ-/edit?usp=drive_link&amp;ouid=100633075102502482905&amp;rtpof=true&amp;sd=true" TargetMode="External"/><Relationship Id="rId68" Type="http://schemas.openxmlformats.org/officeDocument/2006/relationships/hyperlink" Target="https://drive.google.com/file/d/1s-l_Jas_0sf28BucTTPBcIy6r0HNrVA6/view?usp=drive_link" TargetMode="External"/><Relationship Id="rId89" Type="http://schemas.openxmlformats.org/officeDocument/2006/relationships/hyperlink" Target="https://drive.google.com/file/d/1C6NQYqBHbeJ2K-b_VWgMX51-eAFFBhZy/view?usp=drive_link" TargetMode="External"/><Relationship Id="rId112" Type="http://schemas.openxmlformats.org/officeDocument/2006/relationships/hyperlink" Target="https://drive.google.com/file/d/1MnYkyIx4BlmVtTwifofpNK2d11tn6ILE/view" TargetMode="External"/><Relationship Id="rId133" Type="http://schemas.openxmlformats.org/officeDocument/2006/relationships/hyperlink" Target="https://docs.google.com/spreadsheets/d/1jTM1T390AP7gLtqCPdLz3wwqRPS2pi-i/edit?usp=drive_link&amp;ouid=104832552226285151152&amp;rtpof=true&amp;sd=true" TargetMode="External"/><Relationship Id="rId154" Type="http://schemas.openxmlformats.org/officeDocument/2006/relationships/hyperlink" Target="https://drive.google.com/file/d/1f8Z1ysNXyySAgSVk-lnr10-voIPOke4u/view?usp=drive_link" TargetMode="External"/><Relationship Id="rId16" Type="http://schemas.openxmlformats.org/officeDocument/2006/relationships/hyperlink" Target="https://drive.google.com/file/d/1EvAd_zz5uyDE9zcKGysVXEZEkPjh5RQl/view?usp=drive_link" TargetMode="External"/><Relationship Id="rId37" Type="http://schemas.openxmlformats.org/officeDocument/2006/relationships/hyperlink" Target="https://docs.google.com/spreadsheets/d/1nvb5G7oFYGgcfgk7ZWJaseMQzWFQGTMZ/edit?usp=drive_link&amp;ouid=101335042477239293290&amp;rtpof=true&amp;sd=true" TargetMode="External"/><Relationship Id="rId58" Type="http://schemas.openxmlformats.org/officeDocument/2006/relationships/hyperlink" Target="https://drive.google.com/file/d/1Pmku2_xmmw4E5-qOiIUxqOdGvl6P0qsF/view?usp=drive_link" TargetMode="External"/><Relationship Id="rId79" Type="http://schemas.openxmlformats.org/officeDocument/2006/relationships/hyperlink" Target="https://drive.google.com/file/d/15_cznWOphrCbsHUXjOmaJBwc3zFzF07z/view?usp=drive_link" TargetMode="External"/><Relationship Id="rId102" Type="http://schemas.openxmlformats.org/officeDocument/2006/relationships/hyperlink" Target="https://drive.google.com/file/d/1MnYkyIx4BlmVtTwifofpNK2d11tn6ILE/view" TargetMode="External"/><Relationship Id="rId123" Type="http://schemas.openxmlformats.org/officeDocument/2006/relationships/hyperlink" Target="https://drive.google.com/file/d/11NCqBiZlbUcdoHOf0zhdeBO_Wh-7IN_h/view?usp=drive_link" TargetMode="External"/><Relationship Id="rId144" Type="http://schemas.openxmlformats.org/officeDocument/2006/relationships/hyperlink" Target="https://docs.google.com/spreadsheets/d/1XIQwqq_eGxo20O5IhWh7U_rXX5jbNNvH/edit?usp=drive_link&amp;ouid=104832552226285151152&amp;rtpof=true&amp;sd=true" TargetMode="External"/><Relationship Id="rId90" Type="http://schemas.openxmlformats.org/officeDocument/2006/relationships/hyperlink" Target="https://drive.google.com/file/d/1LlN7QGl0AA8g5RB6fyAHQoeRDt41Q1T4/view?usp=drive_link" TargetMode="External"/><Relationship Id="rId165" Type="http://schemas.openxmlformats.org/officeDocument/2006/relationships/hyperlink" Target="https://docs.google.com/spreadsheets/d/1W5-2Xbi-S5GUVeBdsjSHh4C-XVRj9VbK/edit?usp=drive_link&amp;ouid=113857163255088567593&amp;rtpof=true&amp;sd=true" TargetMode="External"/><Relationship Id="rId27" Type="http://schemas.openxmlformats.org/officeDocument/2006/relationships/hyperlink" Target="https://drive.google.com/file/d/1aaTlrG2XTGNRfDslllP5dVo6k8Hvj3xq/view?usp=sharing" TargetMode="External"/><Relationship Id="rId48" Type="http://schemas.openxmlformats.org/officeDocument/2006/relationships/hyperlink" Target="https://docs.google.com/spreadsheets/d/1fHB7fwJ08gQq98tUAlKvg0XVQ3FcjUQ-/edit?usp=drive_link&amp;ouid=100633075102502482905&amp;rtpof=true&amp;sd=true" TargetMode="External"/><Relationship Id="rId69" Type="http://schemas.openxmlformats.org/officeDocument/2006/relationships/hyperlink" Target="https://drive.google.com/file/d/1WkDRoecz2ImPEG8I1BUdD-Uz1F4jhYNd/view?usp=drive_link" TargetMode="External"/><Relationship Id="rId113" Type="http://schemas.openxmlformats.org/officeDocument/2006/relationships/hyperlink" Target="https://drive.google.com/file/d/1MnYkyIx4BlmVtTwifofpNK2d11tn6ILE/view" TargetMode="External"/><Relationship Id="rId134" Type="http://schemas.openxmlformats.org/officeDocument/2006/relationships/hyperlink" Target="https://docs.google.com/spreadsheets/d/1jTM1T390AP7gLtqCPdLz3wwqRPS2pi-i/edit?usp=drive_link&amp;ouid=104832552226285151152&amp;rtpof=true&amp;sd=true" TargetMode="External"/><Relationship Id="rId80" Type="http://schemas.openxmlformats.org/officeDocument/2006/relationships/hyperlink" Target="https://drive.google.com/file/d/1-FkCNJqeowC2tc6TZVPz63bH6m7jGQkU/view?usp=drive_link" TargetMode="External"/><Relationship Id="rId155" Type="http://schemas.openxmlformats.org/officeDocument/2006/relationships/hyperlink" Target="https://drive.google.com/file/d/1f8Z1ysNXyySAgSVk-lnr10-voIPOke4u/view?usp=drive_link" TargetMode="External"/><Relationship Id="rId17" Type="http://schemas.openxmlformats.org/officeDocument/2006/relationships/hyperlink" Target="https://drive.google.com/file/d/1PqVYB4lSnPyUYSHo7y-fEJyAC5_88vRd/view?usp=drive_link" TargetMode="External"/><Relationship Id="rId38" Type="http://schemas.openxmlformats.org/officeDocument/2006/relationships/hyperlink" Target="https://docs.google.com/spreadsheets/d/1nvb5G7oFYGgcfgk7ZWJaseMQzWFQGTMZ/edit?usp=drive_link&amp;ouid=101335042477239293290&amp;rtpof=true&amp;sd=true" TargetMode="External"/><Relationship Id="rId59" Type="http://schemas.openxmlformats.org/officeDocument/2006/relationships/hyperlink" Target="https://drive.google.com/file/d/1NSZTPtlDBotabdlqXg_Vkg0G97ivFaGo/view?usp=drive_link" TargetMode="External"/><Relationship Id="rId103" Type="http://schemas.openxmlformats.org/officeDocument/2006/relationships/hyperlink" Target="https://drive.google.com/file/d/1MnYkyIx4BlmVtTwifofpNK2d11tn6ILE/view" TargetMode="External"/><Relationship Id="rId124" Type="http://schemas.openxmlformats.org/officeDocument/2006/relationships/hyperlink" Target="https://drive.google.com/file/d/1gQsYPkq1yZGiesJ06ptelA5f8fLlVKY5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91"/>
  <sheetViews>
    <sheetView tabSelected="1" zoomScale="85" zoomScaleNormal="85" workbookViewId="0">
      <pane ySplit="5" topLeftCell="A6" activePane="bottomLeft" state="frozen"/>
      <selection pane="bottomLeft" activeCell="D14" sqref="D14"/>
    </sheetView>
  </sheetViews>
  <sheetFormatPr defaultColWidth="12.5703125" defaultRowHeight="15.75" customHeight="1" x14ac:dyDescent="0.25"/>
  <cols>
    <col min="1" max="1" width="12.5703125" style="1"/>
    <col min="2" max="2" width="12.5703125" style="4"/>
    <col min="3" max="3" width="87.140625" style="5" customWidth="1"/>
    <col min="4" max="4" width="12.5703125" style="4"/>
    <col min="5" max="5" width="25.42578125" style="4" customWidth="1"/>
    <col min="6" max="6" width="18.85546875" style="4" customWidth="1"/>
    <col min="7" max="7" width="50.28515625" style="11" customWidth="1"/>
    <col min="8" max="16384" width="12.5703125" style="1"/>
  </cols>
  <sheetData>
    <row r="1" spans="1:9" x14ac:dyDescent="0.25">
      <c r="C1" s="6"/>
      <c r="G1" s="9"/>
    </row>
    <row r="2" spans="1:9" x14ac:dyDescent="0.25">
      <c r="B2" s="45" t="s">
        <v>0</v>
      </c>
      <c r="C2" s="46"/>
      <c r="D2" s="46"/>
      <c r="E2" s="46"/>
      <c r="F2" s="46"/>
      <c r="G2" s="46"/>
    </row>
    <row r="3" spans="1:9" x14ac:dyDescent="0.25">
      <c r="B3" s="46"/>
      <c r="C3" s="46"/>
      <c r="D3" s="46"/>
      <c r="E3" s="46"/>
      <c r="F3" s="46"/>
      <c r="G3" s="46"/>
    </row>
    <row r="4" spans="1:9" ht="47.25" x14ac:dyDescent="0.25">
      <c r="A4" s="2"/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8" t="s">
        <v>6</v>
      </c>
      <c r="H4" s="2"/>
      <c r="I4" s="3"/>
    </row>
    <row r="5" spans="1:9" x14ac:dyDescent="0.25">
      <c r="A5" s="16"/>
      <c r="B5" s="19">
        <v>1</v>
      </c>
      <c r="C5" s="17">
        <v>2</v>
      </c>
      <c r="D5" s="19">
        <v>3</v>
      </c>
      <c r="E5" s="19">
        <v>4</v>
      </c>
      <c r="F5" s="19">
        <v>5</v>
      </c>
      <c r="G5" s="18">
        <v>6</v>
      </c>
    </row>
    <row r="6" spans="1:9" x14ac:dyDescent="0.25">
      <c r="A6" s="16"/>
      <c r="B6" s="20">
        <v>1</v>
      </c>
      <c r="C6" s="21" t="s">
        <v>7</v>
      </c>
      <c r="D6" s="20"/>
      <c r="E6" s="20"/>
      <c r="F6" s="20"/>
      <c r="G6" s="22"/>
    </row>
    <row r="7" spans="1:9" ht="31.5" x14ac:dyDescent="0.25">
      <c r="A7" s="16"/>
      <c r="B7" s="23">
        <v>46023</v>
      </c>
      <c r="C7" s="24" t="s">
        <v>10</v>
      </c>
      <c r="D7" s="25" t="s">
        <v>11</v>
      </c>
      <c r="E7" s="26">
        <v>48450</v>
      </c>
      <c r="F7" s="27" t="s">
        <v>9</v>
      </c>
      <c r="G7" s="29" t="s">
        <v>12</v>
      </c>
    </row>
    <row r="8" spans="1:9" x14ac:dyDescent="0.25">
      <c r="A8" s="16"/>
      <c r="B8" s="20">
        <v>2</v>
      </c>
      <c r="C8" s="21" t="s">
        <v>13</v>
      </c>
      <c r="D8" s="20"/>
      <c r="E8" s="30"/>
      <c r="F8" s="20"/>
      <c r="G8" s="22"/>
    </row>
    <row r="9" spans="1:9" ht="31.5" x14ac:dyDescent="0.25">
      <c r="A9" s="16"/>
      <c r="B9" s="23">
        <v>45659</v>
      </c>
      <c r="C9" s="31" t="s">
        <v>16</v>
      </c>
      <c r="D9" s="32" t="s">
        <v>8</v>
      </c>
      <c r="E9" s="33">
        <v>5400</v>
      </c>
      <c r="F9" s="34" t="s">
        <v>9</v>
      </c>
      <c r="G9" s="28" t="s">
        <v>15</v>
      </c>
    </row>
    <row r="10" spans="1:9" ht="31.5" x14ac:dyDescent="0.25">
      <c r="A10" s="16"/>
      <c r="B10" s="35">
        <v>45690</v>
      </c>
      <c r="C10" s="31" t="s">
        <v>17</v>
      </c>
      <c r="D10" s="32" t="s">
        <v>8</v>
      </c>
      <c r="E10" s="33">
        <v>5400</v>
      </c>
      <c r="F10" s="34" t="s">
        <v>9</v>
      </c>
      <c r="G10" s="28" t="s">
        <v>15</v>
      </c>
    </row>
    <row r="11" spans="1:9" ht="31.5" x14ac:dyDescent="0.25">
      <c r="A11" s="16"/>
      <c r="B11" s="23">
        <v>45718</v>
      </c>
      <c r="C11" s="31" t="s">
        <v>18</v>
      </c>
      <c r="D11" s="32" t="s">
        <v>8</v>
      </c>
      <c r="E11" s="33">
        <v>5400</v>
      </c>
      <c r="F11" s="34" t="s">
        <v>9</v>
      </c>
      <c r="G11" s="28" t="s">
        <v>15</v>
      </c>
    </row>
    <row r="12" spans="1:9" ht="31.5" x14ac:dyDescent="0.25">
      <c r="A12" s="16"/>
      <c r="B12" s="35">
        <v>45749</v>
      </c>
      <c r="C12" s="31" t="s">
        <v>19</v>
      </c>
      <c r="D12" s="36" t="s">
        <v>14</v>
      </c>
      <c r="E12" s="37">
        <v>19.8</v>
      </c>
      <c r="F12" s="38" t="s">
        <v>9</v>
      </c>
      <c r="G12" s="28" t="s">
        <v>15</v>
      </c>
    </row>
    <row r="13" spans="1:9" ht="31.5" x14ac:dyDescent="0.25">
      <c r="A13" s="16"/>
      <c r="B13" s="23">
        <v>45779</v>
      </c>
      <c r="C13" s="31" t="s">
        <v>20</v>
      </c>
      <c r="D13" s="36" t="s">
        <v>21</v>
      </c>
      <c r="E13" s="37">
        <v>985</v>
      </c>
      <c r="F13" s="38" t="s">
        <v>9</v>
      </c>
      <c r="G13" s="28" t="s">
        <v>15</v>
      </c>
    </row>
    <row r="14" spans="1:9" x14ac:dyDescent="0.25">
      <c r="A14" s="16"/>
      <c r="B14" s="20">
        <v>3</v>
      </c>
      <c r="C14" s="21" t="s">
        <v>22</v>
      </c>
      <c r="D14" s="20"/>
      <c r="E14" s="30"/>
      <c r="F14" s="20"/>
      <c r="G14" s="22"/>
    </row>
    <row r="15" spans="1:9" x14ac:dyDescent="0.25">
      <c r="A15" s="16"/>
      <c r="B15" s="39" t="s">
        <v>23</v>
      </c>
      <c r="C15" s="24" t="s">
        <v>30</v>
      </c>
      <c r="D15" s="25" t="s">
        <v>31</v>
      </c>
      <c r="E15" s="26">
        <v>222.02</v>
      </c>
      <c r="F15" s="27" t="s">
        <v>9</v>
      </c>
      <c r="G15" s="28" t="s">
        <v>32</v>
      </c>
    </row>
    <row r="16" spans="1:9" x14ac:dyDescent="0.25">
      <c r="A16" s="16"/>
      <c r="B16" s="39" t="s">
        <v>24</v>
      </c>
      <c r="C16" s="24" t="s">
        <v>35</v>
      </c>
      <c r="D16" s="25" t="s">
        <v>21</v>
      </c>
      <c r="E16" s="26">
        <v>742.88</v>
      </c>
      <c r="F16" s="27" t="s">
        <v>9</v>
      </c>
      <c r="G16" s="28" t="s">
        <v>32</v>
      </c>
    </row>
    <row r="17" spans="1:7" x14ac:dyDescent="0.25">
      <c r="A17" s="16"/>
      <c r="B17" s="39" t="s">
        <v>25</v>
      </c>
      <c r="C17" s="24" t="s">
        <v>37</v>
      </c>
      <c r="D17" s="25" t="s">
        <v>21</v>
      </c>
      <c r="E17" s="26">
        <v>914.2</v>
      </c>
      <c r="F17" s="27" t="s">
        <v>9</v>
      </c>
      <c r="G17" s="28" t="s">
        <v>32</v>
      </c>
    </row>
    <row r="18" spans="1:7" x14ac:dyDescent="0.25">
      <c r="A18" s="16"/>
      <c r="B18" s="39" t="s">
        <v>26</v>
      </c>
      <c r="C18" s="24" t="s">
        <v>39</v>
      </c>
      <c r="D18" s="25" t="s">
        <v>8</v>
      </c>
      <c r="E18" s="26">
        <v>7550</v>
      </c>
      <c r="F18" s="27" t="s">
        <v>9</v>
      </c>
      <c r="G18" s="28" t="s">
        <v>32</v>
      </c>
    </row>
    <row r="19" spans="1:7" x14ac:dyDescent="0.25">
      <c r="A19" s="16"/>
      <c r="B19" s="39" t="s">
        <v>27</v>
      </c>
      <c r="C19" s="24" t="s">
        <v>41</v>
      </c>
      <c r="D19" s="25" t="s">
        <v>8</v>
      </c>
      <c r="E19" s="26">
        <v>7300</v>
      </c>
      <c r="F19" s="27" t="s">
        <v>9</v>
      </c>
      <c r="G19" s="28" t="s">
        <v>32</v>
      </c>
    </row>
    <row r="20" spans="1:7" x14ac:dyDescent="0.25">
      <c r="A20" s="16"/>
      <c r="B20" s="39" t="s">
        <v>29</v>
      </c>
      <c r="C20" s="24" t="s">
        <v>43</v>
      </c>
      <c r="D20" s="25" t="s">
        <v>44</v>
      </c>
      <c r="E20" s="26">
        <v>1151.53</v>
      </c>
      <c r="F20" s="27" t="s">
        <v>9</v>
      </c>
      <c r="G20" s="28" t="s">
        <v>32</v>
      </c>
    </row>
    <row r="21" spans="1:7" x14ac:dyDescent="0.25">
      <c r="A21" s="16"/>
      <c r="B21" s="39" t="s">
        <v>328</v>
      </c>
      <c r="C21" s="24" t="s">
        <v>46</v>
      </c>
      <c r="D21" s="25" t="s">
        <v>44</v>
      </c>
      <c r="E21" s="26">
        <v>503.63</v>
      </c>
      <c r="F21" s="27" t="s">
        <v>9</v>
      </c>
      <c r="G21" s="28" t="s">
        <v>32</v>
      </c>
    </row>
    <row r="22" spans="1:7" x14ac:dyDescent="0.25">
      <c r="A22" s="16"/>
      <c r="B22" s="39" t="s">
        <v>33</v>
      </c>
      <c r="C22" s="24" t="s">
        <v>48</v>
      </c>
      <c r="D22" s="25" t="s">
        <v>21</v>
      </c>
      <c r="E22" s="26">
        <v>281.04000000000002</v>
      </c>
      <c r="F22" s="27" t="s">
        <v>9</v>
      </c>
      <c r="G22" s="28" t="s">
        <v>32</v>
      </c>
    </row>
    <row r="23" spans="1:7" x14ac:dyDescent="0.25">
      <c r="A23" s="16"/>
      <c r="B23" s="39" t="s">
        <v>34</v>
      </c>
      <c r="C23" s="24" t="s">
        <v>50</v>
      </c>
      <c r="D23" s="25" t="s">
        <v>21</v>
      </c>
      <c r="E23" s="26">
        <v>341.68</v>
      </c>
      <c r="F23" s="27" t="s">
        <v>9</v>
      </c>
      <c r="G23" s="28" t="s">
        <v>32</v>
      </c>
    </row>
    <row r="24" spans="1:7" x14ac:dyDescent="0.25">
      <c r="A24" s="16"/>
      <c r="B24" s="39" t="s">
        <v>36</v>
      </c>
      <c r="C24" s="24" t="s">
        <v>52</v>
      </c>
      <c r="D24" s="25" t="s">
        <v>21</v>
      </c>
      <c r="E24" s="26">
        <v>2160.6799999999998</v>
      </c>
      <c r="F24" s="27" t="s">
        <v>9</v>
      </c>
      <c r="G24" s="28" t="s">
        <v>32</v>
      </c>
    </row>
    <row r="25" spans="1:7" x14ac:dyDescent="0.25">
      <c r="A25" s="16"/>
      <c r="B25" s="39" t="s">
        <v>38</v>
      </c>
      <c r="C25" s="24" t="s">
        <v>54</v>
      </c>
      <c r="D25" s="25" t="s">
        <v>21</v>
      </c>
      <c r="E25" s="26">
        <v>401.49</v>
      </c>
      <c r="F25" s="27" t="s">
        <v>9</v>
      </c>
      <c r="G25" s="28" t="s">
        <v>32</v>
      </c>
    </row>
    <row r="26" spans="1:7" x14ac:dyDescent="0.25">
      <c r="A26" s="16"/>
      <c r="B26" s="39" t="s">
        <v>40</v>
      </c>
      <c r="C26" s="24" t="s">
        <v>55</v>
      </c>
      <c r="D26" s="25" t="s">
        <v>21</v>
      </c>
      <c r="E26" s="26">
        <v>7700</v>
      </c>
      <c r="F26" s="27" t="s">
        <v>9</v>
      </c>
      <c r="G26" s="28" t="s">
        <v>56</v>
      </c>
    </row>
    <row r="27" spans="1:7" x14ac:dyDescent="0.25">
      <c r="A27" s="16"/>
      <c r="B27" s="39" t="s">
        <v>42</v>
      </c>
      <c r="C27" s="24" t="s">
        <v>57</v>
      </c>
      <c r="D27" s="25" t="s">
        <v>8</v>
      </c>
      <c r="E27" s="26">
        <v>5205</v>
      </c>
      <c r="F27" s="27" t="s">
        <v>9</v>
      </c>
      <c r="G27" s="28" t="s">
        <v>58</v>
      </c>
    </row>
    <row r="28" spans="1:7" x14ac:dyDescent="0.25">
      <c r="A28" s="16"/>
      <c r="B28" s="39" t="s">
        <v>45</v>
      </c>
      <c r="C28" s="24" t="s">
        <v>59</v>
      </c>
      <c r="D28" s="25" t="s">
        <v>21</v>
      </c>
      <c r="E28" s="26">
        <f>202+2.8</f>
        <v>204.8</v>
      </c>
      <c r="F28" s="27" t="s">
        <v>9</v>
      </c>
      <c r="G28" s="28" t="s">
        <v>60</v>
      </c>
    </row>
    <row r="29" spans="1:7" x14ac:dyDescent="0.25">
      <c r="A29" s="16"/>
      <c r="B29" s="39" t="s">
        <v>329</v>
      </c>
      <c r="C29" s="24" t="s">
        <v>61</v>
      </c>
      <c r="D29" s="25" t="s">
        <v>21</v>
      </c>
      <c r="E29" s="26">
        <f>2350+86.14</f>
        <v>2436.14</v>
      </c>
      <c r="F29" s="27" t="s">
        <v>9</v>
      </c>
      <c r="G29" s="28" t="s">
        <v>62</v>
      </c>
    </row>
    <row r="30" spans="1:7" ht="31.5" x14ac:dyDescent="0.25">
      <c r="A30" s="16"/>
      <c r="B30" s="39" t="s">
        <v>47</v>
      </c>
      <c r="C30" s="40" t="s">
        <v>63</v>
      </c>
      <c r="D30" s="27" t="s">
        <v>21</v>
      </c>
      <c r="E30" s="41">
        <v>29710.67</v>
      </c>
      <c r="F30" s="27" t="s">
        <v>9</v>
      </c>
      <c r="G30" s="28" t="s">
        <v>64</v>
      </c>
    </row>
    <row r="31" spans="1:7" ht="31.5" x14ac:dyDescent="0.25">
      <c r="A31" s="16"/>
      <c r="B31" s="39" t="s">
        <v>49</v>
      </c>
      <c r="C31" s="40" t="s">
        <v>65</v>
      </c>
      <c r="D31" s="27" t="s">
        <v>21</v>
      </c>
      <c r="E31" s="41">
        <v>11680.67</v>
      </c>
      <c r="F31" s="27" t="s">
        <v>9</v>
      </c>
      <c r="G31" s="28" t="s">
        <v>64</v>
      </c>
    </row>
    <row r="32" spans="1:7" ht="31.5" x14ac:dyDescent="0.25">
      <c r="A32" s="16"/>
      <c r="B32" s="39" t="s">
        <v>330</v>
      </c>
      <c r="C32" s="40" t="s">
        <v>66</v>
      </c>
      <c r="D32" s="27" t="s">
        <v>21</v>
      </c>
      <c r="E32" s="41">
        <v>9979.33</v>
      </c>
      <c r="F32" s="27" t="s">
        <v>9</v>
      </c>
      <c r="G32" s="28" t="s">
        <v>64</v>
      </c>
    </row>
    <row r="33" spans="1:7" ht="31.5" x14ac:dyDescent="0.25">
      <c r="A33" s="16"/>
      <c r="B33" s="39" t="s">
        <v>51</v>
      </c>
      <c r="C33" s="40" t="s">
        <v>67</v>
      </c>
      <c r="D33" s="27" t="s">
        <v>21</v>
      </c>
      <c r="E33" s="41">
        <v>8845.33</v>
      </c>
      <c r="F33" s="27" t="s">
        <v>9</v>
      </c>
      <c r="G33" s="28" t="s">
        <v>64</v>
      </c>
    </row>
    <row r="34" spans="1:7" ht="31.5" x14ac:dyDescent="0.25">
      <c r="A34" s="16"/>
      <c r="B34" s="39" t="s">
        <v>53</v>
      </c>
      <c r="C34" s="40" t="s">
        <v>68</v>
      </c>
      <c r="D34" s="27" t="s">
        <v>21</v>
      </c>
      <c r="E34" s="41">
        <v>6010.67</v>
      </c>
      <c r="F34" s="27" t="s">
        <v>9</v>
      </c>
      <c r="G34" s="28" t="s">
        <v>64</v>
      </c>
    </row>
    <row r="35" spans="1:7" x14ac:dyDescent="0.25">
      <c r="A35" s="16"/>
      <c r="B35" s="20">
        <v>4</v>
      </c>
      <c r="C35" s="21" t="s">
        <v>69</v>
      </c>
      <c r="D35" s="20"/>
      <c r="E35" s="30"/>
      <c r="F35" s="20"/>
      <c r="G35" s="22"/>
    </row>
    <row r="36" spans="1:7" ht="31.5" x14ac:dyDescent="0.25">
      <c r="A36" s="16"/>
      <c r="B36" s="39" t="s">
        <v>70</v>
      </c>
      <c r="C36" s="42" t="s">
        <v>71</v>
      </c>
      <c r="D36" s="25" t="s">
        <v>21</v>
      </c>
      <c r="E36" s="33">
        <v>19348.55</v>
      </c>
      <c r="F36" s="27" t="s">
        <v>9</v>
      </c>
      <c r="G36" s="28" t="s">
        <v>72</v>
      </c>
    </row>
    <row r="37" spans="1:7" ht="31.5" x14ac:dyDescent="0.25">
      <c r="A37" s="16"/>
      <c r="B37" s="39" t="s">
        <v>73</v>
      </c>
      <c r="C37" s="42" t="s">
        <v>75</v>
      </c>
      <c r="D37" s="25" t="s">
        <v>21</v>
      </c>
      <c r="E37" s="33">
        <v>9182.4500000000007</v>
      </c>
      <c r="F37" s="27" t="s">
        <v>9</v>
      </c>
      <c r="G37" s="28" t="s">
        <v>72</v>
      </c>
    </row>
    <row r="38" spans="1:7" ht="31.5" x14ac:dyDescent="0.25">
      <c r="A38" s="16"/>
      <c r="B38" s="39" t="s">
        <v>74</v>
      </c>
      <c r="C38" s="42" t="s">
        <v>77</v>
      </c>
      <c r="D38" s="25" t="s">
        <v>21</v>
      </c>
      <c r="E38" s="33">
        <v>15671.45</v>
      </c>
      <c r="F38" s="27" t="s">
        <v>9</v>
      </c>
      <c r="G38" s="28" t="s">
        <v>72</v>
      </c>
    </row>
    <row r="39" spans="1:7" x14ac:dyDescent="0.25">
      <c r="A39" s="16"/>
      <c r="B39" s="39" t="s">
        <v>76</v>
      </c>
      <c r="C39" s="42" t="s">
        <v>79</v>
      </c>
      <c r="D39" s="25" t="s">
        <v>21</v>
      </c>
      <c r="E39" s="33">
        <v>7040.05</v>
      </c>
      <c r="F39" s="27" t="s">
        <v>9</v>
      </c>
      <c r="G39" s="28" t="s">
        <v>72</v>
      </c>
    </row>
    <row r="40" spans="1:7" ht="31.5" x14ac:dyDescent="0.25">
      <c r="A40" s="16"/>
      <c r="B40" s="39" t="s">
        <v>78</v>
      </c>
      <c r="C40" s="42" t="s">
        <v>81</v>
      </c>
      <c r="D40" s="25" t="s">
        <v>21</v>
      </c>
      <c r="E40" s="33">
        <v>15805.35</v>
      </c>
      <c r="F40" s="27" t="s">
        <v>9</v>
      </c>
      <c r="G40" s="28" t="s">
        <v>72</v>
      </c>
    </row>
    <row r="41" spans="1:7" ht="31.5" x14ac:dyDescent="0.25">
      <c r="A41" s="16"/>
      <c r="B41" s="39" t="s">
        <v>80</v>
      </c>
      <c r="C41" s="42" t="s">
        <v>83</v>
      </c>
      <c r="D41" s="25" t="s">
        <v>21</v>
      </c>
      <c r="E41" s="33">
        <v>15959.85</v>
      </c>
      <c r="F41" s="27" t="s">
        <v>9</v>
      </c>
      <c r="G41" s="28" t="s">
        <v>72</v>
      </c>
    </row>
    <row r="42" spans="1:7" x14ac:dyDescent="0.25">
      <c r="A42" s="16"/>
      <c r="B42" s="39" t="s">
        <v>82</v>
      </c>
      <c r="C42" s="42" t="s">
        <v>85</v>
      </c>
      <c r="D42" s="25" t="s">
        <v>21</v>
      </c>
      <c r="E42" s="33">
        <v>35440.239999999998</v>
      </c>
      <c r="F42" s="27" t="s">
        <v>9</v>
      </c>
      <c r="G42" s="28" t="s">
        <v>72</v>
      </c>
    </row>
    <row r="43" spans="1:7" x14ac:dyDescent="0.25">
      <c r="A43" s="16"/>
      <c r="B43" s="39" t="s">
        <v>84</v>
      </c>
      <c r="C43" s="42" t="s">
        <v>88</v>
      </c>
      <c r="D43" s="25" t="s">
        <v>21</v>
      </c>
      <c r="E43" s="33">
        <v>13802</v>
      </c>
      <c r="F43" s="27" t="s">
        <v>9</v>
      </c>
      <c r="G43" s="28" t="s">
        <v>89</v>
      </c>
    </row>
    <row r="44" spans="1:7" x14ac:dyDescent="0.25">
      <c r="A44" s="16"/>
      <c r="B44" s="39" t="s">
        <v>86</v>
      </c>
      <c r="C44" s="42" t="s">
        <v>91</v>
      </c>
      <c r="D44" s="25" t="s">
        <v>14</v>
      </c>
      <c r="E44" s="33">
        <v>88311.4378</v>
      </c>
      <c r="F44" s="27" t="s">
        <v>9</v>
      </c>
      <c r="G44" s="28" t="s">
        <v>89</v>
      </c>
    </row>
    <row r="45" spans="1:7" x14ac:dyDescent="0.25">
      <c r="A45" s="16"/>
      <c r="B45" s="39" t="s">
        <v>87</v>
      </c>
      <c r="C45" s="42" t="s">
        <v>93</v>
      </c>
      <c r="D45" s="25" t="s">
        <v>14</v>
      </c>
      <c r="E45" s="33">
        <v>100103.64</v>
      </c>
      <c r="F45" s="27" t="s">
        <v>9</v>
      </c>
      <c r="G45" s="28" t="s">
        <v>89</v>
      </c>
    </row>
    <row r="46" spans="1:7" x14ac:dyDescent="0.25">
      <c r="A46" s="16"/>
      <c r="B46" s="39" t="s">
        <v>90</v>
      </c>
      <c r="C46" s="42" t="s">
        <v>95</v>
      </c>
      <c r="D46" s="25" t="s">
        <v>14</v>
      </c>
      <c r="E46" s="33">
        <v>63386.5193</v>
      </c>
      <c r="F46" s="27" t="s">
        <v>9</v>
      </c>
      <c r="G46" s="28" t="s">
        <v>89</v>
      </c>
    </row>
    <row r="47" spans="1:7" x14ac:dyDescent="0.25">
      <c r="A47" s="16"/>
      <c r="B47" s="39" t="s">
        <v>92</v>
      </c>
      <c r="C47" s="42" t="s">
        <v>97</v>
      </c>
      <c r="D47" s="25" t="s">
        <v>21</v>
      </c>
      <c r="E47" s="33">
        <v>8250.2999999999993</v>
      </c>
      <c r="F47" s="27" t="s">
        <v>9</v>
      </c>
      <c r="G47" s="28" t="s">
        <v>89</v>
      </c>
    </row>
    <row r="48" spans="1:7" x14ac:dyDescent="0.25">
      <c r="A48" s="16"/>
      <c r="B48" s="39" t="s">
        <v>94</v>
      </c>
      <c r="C48" s="42" t="s">
        <v>99</v>
      </c>
      <c r="D48" s="25" t="s">
        <v>21</v>
      </c>
      <c r="E48" s="33">
        <v>26815.02</v>
      </c>
      <c r="F48" s="27" t="s">
        <v>9</v>
      </c>
      <c r="G48" s="28" t="s">
        <v>89</v>
      </c>
    </row>
    <row r="49" spans="1:7" ht="31.5" x14ac:dyDescent="0.25">
      <c r="A49" s="16"/>
      <c r="B49" s="39" t="s">
        <v>96</v>
      </c>
      <c r="C49" s="42" t="s">
        <v>101</v>
      </c>
      <c r="D49" s="25" t="s">
        <v>21</v>
      </c>
      <c r="E49" s="33">
        <v>26709.96</v>
      </c>
      <c r="F49" s="27" t="s">
        <v>9</v>
      </c>
      <c r="G49" s="28" t="s">
        <v>89</v>
      </c>
    </row>
    <row r="50" spans="1:7" x14ac:dyDescent="0.25">
      <c r="A50" s="16"/>
      <c r="B50" s="39" t="s">
        <v>98</v>
      </c>
      <c r="C50" s="42" t="s">
        <v>103</v>
      </c>
      <c r="D50" s="25" t="s">
        <v>21</v>
      </c>
      <c r="E50" s="33">
        <v>2008.5</v>
      </c>
      <c r="F50" s="27" t="s">
        <v>9</v>
      </c>
      <c r="G50" s="28" t="s">
        <v>89</v>
      </c>
    </row>
    <row r="51" spans="1:7" x14ac:dyDescent="0.25">
      <c r="A51" s="16"/>
      <c r="B51" s="39" t="s">
        <v>100</v>
      </c>
      <c r="C51" s="42" t="s">
        <v>105</v>
      </c>
      <c r="D51" s="25" t="s">
        <v>21</v>
      </c>
      <c r="E51" s="33">
        <v>11628.7</v>
      </c>
      <c r="F51" s="27" t="s">
        <v>9</v>
      </c>
      <c r="G51" s="28" t="s">
        <v>89</v>
      </c>
    </row>
    <row r="52" spans="1:7" x14ac:dyDescent="0.25">
      <c r="A52" s="16"/>
      <c r="B52" s="39" t="s">
        <v>102</v>
      </c>
      <c r="C52" s="42" t="s">
        <v>107</v>
      </c>
      <c r="D52" s="25" t="s">
        <v>21</v>
      </c>
      <c r="E52" s="33">
        <v>68278.7</v>
      </c>
      <c r="F52" s="27" t="s">
        <v>9</v>
      </c>
      <c r="G52" s="28" t="s">
        <v>89</v>
      </c>
    </row>
    <row r="53" spans="1:7" x14ac:dyDescent="0.25">
      <c r="A53" s="16"/>
      <c r="B53" s="39" t="s">
        <v>104</v>
      </c>
      <c r="C53" s="42" t="s">
        <v>109</v>
      </c>
      <c r="D53" s="25" t="s">
        <v>21</v>
      </c>
      <c r="E53" s="33">
        <v>8930.1</v>
      </c>
      <c r="F53" s="27" t="s">
        <v>9</v>
      </c>
      <c r="G53" s="28" t="s">
        <v>89</v>
      </c>
    </row>
    <row r="54" spans="1:7" x14ac:dyDescent="0.25">
      <c r="A54" s="16"/>
      <c r="B54" s="39" t="s">
        <v>106</v>
      </c>
      <c r="C54" s="42" t="s">
        <v>111</v>
      </c>
      <c r="D54" s="25" t="s">
        <v>21</v>
      </c>
      <c r="E54" s="33">
        <v>15480.9</v>
      </c>
      <c r="F54" s="27" t="s">
        <v>9</v>
      </c>
      <c r="G54" s="28" t="s">
        <v>89</v>
      </c>
    </row>
    <row r="55" spans="1:7" ht="31.5" x14ac:dyDescent="0.25">
      <c r="A55" s="16"/>
      <c r="B55" s="39" t="s">
        <v>108</v>
      </c>
      <c r="C55" s="42" t="s">
        <v>399</v>
      </c>
      <c r="D55" s="25" t="s">
        <v>21</v>
      </c>
      <c r="E55" s="33" t="s">
        <v>404</v>
      </c>
      <c r="F55" s="27" t="s">
        <v>9</v>
      </c>
      <c r="G55" s="28" t="s">
        <v>113</v>
      </c>
    </row>
    <row r="56" spans="1:7" ht="31.5" x14ac:dyDescent="0.25">
      <c r="A56" s="16"/>
      <c r="B56" s="39" t="s">
        <v>110</v>
      </c>
      <c r="C56" s="42" t="s">
        <v>400</v>
      </c>
      <c r="D56" s="25" t="s">
        <v>21</v>
      </c>
      <c r="E56" s="33" t="s">
        <v>405</v>
      </c>
      <c r="F56" s="27" t="s">
        <v>9</v>
      </c>
      <c r="G56" s="28" t="s">
        <v>113</v>
      </c>
    </row>
    <row r="57" spans="1:7" ht="31.5" x14ac:dyDescent="0.25">
      <c r="A57" s="16"/>
      <c r="B57" s="39" t="s">
        <v>112</v>
      </c>
      <c r="C57" s="42" t="s">
        <v>401</v>
      </c>
      <c r="D57" s="25" t="s">
        <v>21</v>
      </c>
      <c r="E57" s="33" t="s">
        <v>406</v>
      </c>
      <c r="F57" s="27" t="s">
        <v>9</v>
      </c>
      <c r="G57" s="28" t="s">
        <v>113</v>
      </c>
    </row>
    <row r="58" spans="1:7" ht="31.5" x14ac:dyDescent="0.25">
      <c r="A58" s="16"/>
      <c r="B58" s="39" t="s">
        <v>114</v>
      </c>
      <c r="C58" s="42" t="s">
        <v>402</v>
      </c>
      <c r="D58" s="25" t="s">
        <v>21</v>
      </c>
      <c r="E58" s="33" t="s">
        <v>407</v>
      </c>
      <c r="F58" s="27" t="s">
        <v>9</v>
      </c>
      <c r="G58" s="28" t="s">
        <v>113</v>
      </c>
    </row>
    <row r="59" spans="1:7" ht="31.5" x14ac:dyDescent="0.25">
      <c r="A59" s="16"/>
      <c r="B59" s="39" t="s">
        <v>115</v>
      </c>
      <c r="C59" s="42" t="s">
        <v>403</v>
      </c>
      <c r="D59" s="25" t="s">
        <v>21</v>
      </c>
      <c r="E59" s="33" t="s">
        <v>408</v>
      </c>
      <c r="F59" s="27" t="s">
        <v>9</v>
      </c>
      <c r="G59" s="28" t="s">
        <v>113</v>
      </c>
    </row>
    <row r="60" spans="1:7" ht="31.5" x14ac:dyDescent="0.25">
      <c r="A60" s="16"/>
      <c r="B60" s="39" t="s">
        <v>116</v>
      </c>
      <c r="C60" s="42" t="s">
        <v>398</v>
      </c>
      <c r="D60" s="25" t="s">
        <v>21</v>
      </c>
      <c r="E60" s="33" t="s">
        <v>409</v>
      </c>
      <c r="F60" s="27" t="s">
        <v>9</v>
      </c>
      <c r="G60" s="28" t="s">
        <v>113</v>
      </c>
    </row>
    <row r="61" spans="1:7" ht="31.5" x14ac:dyDescent="0.25">
      <c r="A61" s="16"/>
      <c r="B61" s="39" t="s">
        <v>117</v>
      </c>
      <c r="C61" s="42" t="s">
        <v>120</v>
      </c>
      <c r="D61" s="25" t="s">
        <v>21</v>
      </c>
      <c r="E61" s="33">
        <v>61475.55</v>
      </c>
      <c r="F61" s="27" t="s">
        <v>9</v>
      </c>
      <c r="G61" s="28" t="s">
        <v>72</v>
      </c>
    </row>
    <row r="62" spans="1:7" ht="31.5" x14ac:dyDescent="0.25">
      <c r="A62" s="16"/>
      <c r="B62" s="39" t="s">
        <v>118</v>
      </c>
      <c r="C62" s="42" t="s">
        <v>122</v>
      </c>
      <c r="D62" s="25" t="s">
        <v>21</v>
      </c>
      <c r="E62" s="33">
        <v>10212.450000000001</v>
      </c>
      <c r="F62" s="27" t="s">
        <v>9</v>
      </c>
      <c r="G62" s="28" t="s">
        <v>72</v>
      </c>
    </row>
    <row r="63" spans="1:7" ht="31.5" x14ac:dyDescent="0.25">
      <c r="A63" s="16"/>
      <c r="B63" s="39" t="s">
        <v>119</v>
      </c>
      <c r="C63" s="42" t="s">
        <v>123</v>
      </c>
      <c r="D63" s="25" t="s">
        <v>21</v>
      </c>
      <c r="E63" s="33">
        <v>14193.4</v>
      </c>
      <c r="F63" s="27" t="s">
        <v>9</v>
      </c>
      <c r="G63" s="28" t="s">
        <v>124</v>
      </c>
    </row>
    <row r="64" spans="1:7" x14ac:dyDescent="0.25">
      <c r="A64" s="16"/>
      <c r="B64" s="39" t="s">
        <v>121</v>
      </c>
      <c r="C64" s="42" t="s">
        <v>125</v>
      </c>
      <c r="D64" s="25" t="s">
        <v>21</v>
      </c>
      <c r="E64" s="33">
        <f>8200*1.03</f>
        <v>8446</v>
      </c>
      <c r="F64" s="27" t="s">
        <v>9</v>
      </c>
      <c r="G64" s="28" t="s">
        <v>126</v>
      </c>
    </row>
    <row r="65" spans="1:7" x14ac:dyDescent="0.25">
      <c r="A65" s="16"/>
      <c r="B65" s="20">
        <v>5</v>
      </c>
      <c r="C65" s="21" t="s">
        <v>129</v>
      </c>
      <c r="D65" s="20"/>
      <c r="E65" s="30"/>
      <c r="F65" s="20"/>
      <c r="G65" s="22"/>
    </row>
    <row r="66" spans="1:7" x14ac:dyDescent="0.25">
      <c r="A66" s="16"/>
      <c r="B66" s="39" t="s">
        <v>334</v>
      </c>
      <c r="C66" s="24" t="s">
        <v>131</v>
      </c>
      <c r="D66" s="25" t="s">
        <v>21</v>
      </c>
      <c r="E66" s="26">
        <v>2264</v>
      </c>
      <c r="F66" s="34" t="s">
        <v>9</v>
      </c>
      <c r="G66" s="28" t="s">
        <v>132</v>
      </c>
    </row>
    <row r="67" spans="1:7" x14ac:dyDescent="0.25">
      <c r="A67" s="16"/>
      <c r="B67" s="39" t="s">
        <v>335</v>
      </c>
      <c r="C67" s="24" t="s">
        <v>134</v>
      </c>
      <c r="D67" s="25" t="s">
        <v>14</v>
      </c>
      <c r="E67" s="26">
        <v>650000</v>
      </c>
      <c r="F67" s="34" t="s">
        <v>9</v>
      </c>
      <c r="G67" s="28" t="s">
        <v>135</v>
      </c>
    </row>
    <row r="68" spans="1:7" x14ac:dyDescent="0.25">
      <c r="A68" s="16"/>
      <c r="B68" s="39" t="s">
        <v>336</v>
      </c>
      <c r="C68" s="24" t="s">
        <v>137</v>
      </c>
      <c r="D68" s="25" t="s">
        <v>31</v>
      </c>
      <c r="E68" s="26">
        <v>434.87</v>
      </c>
      <c r="F68" s="34" t="s">
        <v>9</v>
      </c>
      <c r="G68" s="28" t="s">
        <v>138</v>
      </c>
    </row>
    <row r="69" spans="1:7" x14ac:dyDescent="0.25">
      <c r="A69" s="16"/>
      <c r="B69" s="39" t="s">
        <v>337</v>
      </c>
      <c r="C69" s="24" t="s">
        <v>140</v>
      </c>
      <c r="D69" s="25" t="s">
        <v>14</v>
      </c>
      <c r="E69" s="26">
        <v>325000</v>
      </c>
      <c r="F69" s="34" t="s">
        <v>9</v>
      </c>
      <c r="G69" s="28" t="s">
        <v>141</v>
      </c>
    </row>
    <row r="70" spans="1:7" x14ac:dyDescent="0.25">
      <c r="A70" s="16"/>
      <c r="B70" s="39" t="s">
        <v>338</v>
      </c>
      <c r="C70" s="24" t="s">
        <v>143</v>
      </c>
      <c r="D70" s="25" t="s">
        <v>14</v>
      </c>
      <c r="E70" s="26">
        <v>4829441.66</v>
      </c>
      <c r="F70" s="34" t="s">
        <v>9</v>
      </c>
      <c r="G70" s="28" t="s">
        <v>144</v>
      </c>
    </row>
    <row r="71" spans="1:7" x14ac:dyDescent="0.25">
      <c r="A71" s="16"/>
      <c r="B71" s="39" t="s">
        <v>339</v>
      </c>
      <c r="C71" s="24" t="s">
        <v>146</v>
      </c>
      <c r="D71" s="25" t="s">
        <v>14</v>
      </c>
      <c r="E71" s="26">
        <v>2694320.08</v>
      </c>
      <c r="F71" s="34" t="s">
        <v>9</v>
      </c>
      <c r="G71" s="28" t="s">
        <v>144</v>
      </c>
    </row>
    <row r="72" spans="1:7" x14ac:dyDescent="0.25">
      <c r="A72" s="16"/>
      <c r="B72" s="39" t="s">
        <v>340</v>
      </c>
      <c r="C72" s="24" t="s">
        <v>149</v>
      </c>
      <c r="D72" s="25" t="s">
        <v>21</v>
      </c>
      <c r="E72" s="26">
        <v>12188.94</v>
      </c>
      <c r="F72" s="34" t="s">
        <v>9</v>
      </c>
      <c r="G72" s="28" t="s">
        <v>150</v>
      </c>
    </row>
    <row r="73" spans="1:7" x14ac:dyDescent="0.25">
      <c r="A73" s="16"/>
      <c r="B73" s="39" t="s">
        <v>341</v>
      </c>
      <c r="C73" s="24" t="s">
        <v>152</v>
      </c>
      <c r="D73" s="25" t="s">
        <v>21</v>
      </c>
      <c r="E73" s="26">
        <v>4523.76</v>
      </c>
      <c r="F73" s="34" t="s">
        <v>9</v>
      </c>
      <c r="G73" s="28" t="s">
        <v>150</v>
      </c>
    </row>
    <row r="74" spans="1:7" x14ac:dyDescent="0.25">
      <c r="A74" s="16"/>
      <c r="B74" s="39" t="s">
        <v>342</v>
      </c>
      <c r="C74" s="24" t="s">
        <v>155</v>
      </c>
      <c r="D74" s="25" t="s">
        <v>21</v>
      </c>
      <c r="E74" s="26">
        <v>5718.31</v>
      </c>
      <c r="F74" s="34" t="s">
        <v>9</v>
      </c>
      <c r="G74" s="28" t="s">
        <v>156</v>
      </c>
    </row>
    <row r="75" spans="1:7" x14ac:dyDescent="0.25">
      <c r="A75" s="16"/>
      <c r="B75" s="39" t="s">
        <v>343</v>
      </c>
      <c r="C75" s="24" t="s">
        <v>158</v>
      </c>
      <c r="D75" s="25" t="s">
        <v>21</v>
      </c>
      <c r="E75" s="26">
        <v>941.53</v>
      </c>
      <c r="F75" s="34" t="s">
        <v>9</v>
      </c>
      <c r="G75" s="28" t="s">
        <v>159</v>
      </c>
    </row>
    <row r="76" spans="1:7" x14ac:dyDescent="0.25">
      <c r="A76" s="16"/>
      <c r="B76" s="39" t="s">
        <v>344</v>
      </c>
      <c r="C76" s="24" t="s">
        <v>161</v>
      </c>
      <c r="D76" s="25" t="s">
        <v>21</v>
      </c>
      <c r="E76" s="26">
        <v>1692</v>
      </c>
      <c r="F76" s="34" t="s">
        <v>9</v>
      </c>
      <c r="G76" s="28" t="s">
        <v>162</v>
      </c>
    </row>
    <row r="77" spans="1:7" ht="31.5" x14ac:dyDescent="0.25">
      <c r="A77" s="16"/>
      <c r="B77" s="39" t="s">
        <v>345</v>
      </c>
      <c r="C77" s="24" t="s">
        <v>164</v>
      </c>
      <c r="D77" s="25" t="s">
        <v>21</v>
      </c>
      <c r="E77" s="26">
        <v>4000</v>
      </c>
      <c r="F77" s="34" t="s">
        <v>9</v>
      </c>
      <c r="G77" s="28" t="s">
        <v>165</v>
      </c>
    </row>
    <row r="78" spans="1:7" x14ac:dyDescent="0.25">
      <c r="A78" s="16"/>
      <c r="B78" s="39" t="s">
        <v>346</v>
      </c>
      <c r="C78" s="24" t="s">
        <v>167</v>
      </c>
      <c r="D78" s="25" t="s">
        <v>31</v>
      </c>
      <c r="E78" s="26">
        <v>122.2</v>
      </c>
      <c r="F78" s="34" t="s">
        <v>9</v>
      </c>
      <c r="G78" s="28" t="s">
        <v>168</v>
      </c>
    </row>
    <row r="79" spans="1:7" x14ac:dyDescent="0.25">
      <c r="A79" s="16"/>
      <c r="B79" s="39" t="s">
        <v>347</v>
      </c>
      <c r="C79" s="24" t="s">
        <v>170</v>
      </c>
      <c r="D79" s="25" t="s">
        <v>31</v>
      </c>
      <c r="E79" s="26">
        <v>33.200000000000003</v>
      </c>
      <c r="F79" s="34" t="s">
        <v>9</v>
      </c>
      <c r="G79" s="28" t="s">
        <v>168</v>
      </c>
    </row>
    <row r="80" spans="1:7" x14ac:dyDescent="0.25">
      <c r="A80" s="16"/>
      <c r="B80" s="39" t="s">
        <v>348</v>
      </c>
      <c r="C80" s="24" t="s">
        <v>174</v>
      </c>
      <c r="D80" s="25" t="s">
        <v>31</v>
      </c>
      <c r="E80" s="26">
        <v>462.21</v>
      </c>
      <c r="F80" s="34" t="s">
        <v>9</v>
      </c>
      <c r="G80" s="28" t="s">
        <v>172</v>
      </c>
    </row>
    <row r="81" spans="1:7" x14ac:dyDescent="0.25">
      <c r="A81" s="16"/>
      <c r="B81" s="39" t="s">
        <v>349</v>
      </c>
      <c r="C81" s="24" t="s">
        <v>176</v>
      </c>
      <c r="D81" s="25" t="s">
        <v>31</v>
      </c>
      <c r="E81" s="26">
        <v>654.5</v>
      </c>
      <c r="F81" s="34" t="s">
        <v>9</v>
      </c>
      <c r="G81" s="28" t="s">
        <v>172</v>
      </c>
    </row>
    <row r="82" spans="1:7" x14ac:dyDescent="0.25">
      <c r="A82" s="16"/>
      <c r="B82" s="39" t="s">
        <v>350</v>
      </c>
      <c r="C82" s="24" t="s">
        <v>178</v>
      </c>
      <c r="D82" s="25" t="s">
        <v>14</v>
      </c>
      <c r="E82" s="26">
        <v>227350</v>
      </c>
      <c r="F82" s="34" t="s">
        <v>9</v>
      </c>
      <c r="G82" s="28" t="s">
        <v>179</v>
      </c>
    </row>
    <row r="83" spans="1:7" ht="31.5" x14ac:dyDescent="0.25">
      <c r="A83" s="16"/>
      <c r="B83" s="39" t="s">
        <v>351</v>
      </c>
      <c r="C83" s="24" t="s">
        <v>180</v>
      </c>
      <c r="D83" s="25" t="s">
        <v>181</v>
      </c>
      <c r="E83" s="26">
        <v>600000</v>
      </c>
      <c r="F83" s="34" t="s">
        <v>9</v>
      </c>
      <c r="G83" s="28" t="s">
        <v>182</v>
      </c>
    </row>
    <row r="84" spans="1:7" x14ac:dyDescent="0.25">
      <c r="A84" s="16"/>
      <c r="B84" s="39" t="s">
        <v>352</v>
      </c>
      <c r="C84" s="24" t="s">
        <v>184</v>
      </c>
      <c r="D84" s="25" t="s">
        <v>21</v>
      </c>
      <c r="E84" s="26">
        <v>120</v>
      </c>
      <c r="F84" s="34" t="s">
        <v>9</v>
      </c>
      <c r="G84" s="28" t="s">
        <v>185</v>
      </c>
    </row>
    <row r="85" spans="1:7" ht="31.5" x14ac:dyDescent="0.25">
      <c r="A85" s="16"/>
      <c r="B85" s="39" t="s">
        <v>353</v>
      </c>
      <c r="C85" s="24" t="s">
        <v>186</v>
      </c>
      <c r="D85" s="25" t="s">
        <v>21</v>
      </c>
      <c r="E85" s="26">
        <v>12727.27</v>
      </c>
      <c r="F85" s="34" t="s">
        <v>9</v>
      </c>
      <c r="G85" s="28" t="s">
        <v>187</v>
      </c>
    </row>
    <row r="86" spans="1:7" ht="47.25" x14ac:dyDescent="0.25">
      <c r="A86" s="16"/>
      <c r="B86" s="39" t="s">
        <v>354</v>
      </c>
      <c r="C86" s="24" t="s">
        <v>189</v>
      </c>
      <c r="D86" s="25" t="s">
        <v>181</v>
      </c>
      <c r="E86" s="26">
        <v>25500</v>
      </c>
      <c r="F86" s="34" t="s">
        <v>9</v>
      </c>
      <c r="G86" s="28" t="s">
        <v>188</v>
      </c>
    </row>
    <row r="87" spans="1:7" ht="47.25" x14ac:dyDescent="0.25">
      <c r="A87" s="16"/>
      <c r="B87" s="39" t="s">
        <v>355</v>
      </c>
      <c r="C87" s="24" t="s">
        <v>190</v>
      </c>
      <c r="D87" s="25" t="s">
        <v>181</v>
      </c>
      <c r="E87" s="26">
        <v>27000</v>
      </c>
      <c r="F87" s="34" t="s">
        <v>9</v>
      </c>
      <c r="G87" s="28" t="s">
        <v>188</v>
      </c>
    </row>
    <row r="88" spans="1:7" x14ac:dyDescent="0.25">
      <c r="A88" s="16"/>
      <c r="B88" s="39" t="s">
        <v>356</v>
      </c>
      <c r="C88" s="24" t="s">
        <v>191</v>
      </c>
      <c r="D88" s="25" t="s">
        <v>31</v>
      </c>
      <c r="E88" s="26">
        <v>12.24</v>
      </c>
      <c r="F88" s="34" t="s">
        <v>9</v>
      </c>
      <c r="G88" s="28" t="s">
        <v>192</v>
      </c>
    </row>
    <row r="89" spans="1:7" x14ac:dyDescent="0.25">
      <c r="A89" s="16"/>
      <c r="B89" s="39" t="s">
        <v>357</v>
      </c>
      <c r="C89" s="24" t="s">
        <v>193</v>
      </c>
      <c r="D89" s="25" t="s">
        <v>8</v>
      </c>
      <c r="E89" s="26">
        <v>2060</v>
      </c>
      <c r="F89" s="34" t="s">
        <v>9</v>
      </c>
      <c r="G89" s="28" t="s">
        <v>194</v>
      </c>
    </row>
    <row r="90" spans="1:7" x14ac:dyDescent="0.25">
      <c r="A90" s="16"/>
      <c r="B90" s="39" t="s">
        <v>358</v>
      </c>
      <c r="C90" s="24" t="s">
        <v>195</v>
      </c>
      <c r="D90" s="25" t="s">
        <v>128</v>
      </c>
      <c r="E90" s="26">
        <v>267.8</v>
      </c>
      <c r="F90" s="34" t="s">
        <v>9</v>
      </c>
      <c r="G90" s="28" t="s">
        <v>196</v>
      </c>
    </row>
    <row r="91" spans="1:7" ht="31.5" x14ac:dyDescent="0.25">
      <c r="A91" s="16"/>
      <c r="B91" s="39" t="s">
        <v>359</v>
      </c>
      <c r="C91" s="24" t="s">
        <v>197</v>
      </c>
      <c r="D91" s="25" t="s">
        <v>14</v>
      </c>
      <c r="E91" s="26">
        <v>90000</v>
      </c>
      <c r="F91" s="34" t="s">
        <v>9</v>
      </c>
      <c r="G91" s="28" t="s">
        <v>198</v>
      </c>
    </row>
    <row r="92" spans="1:7" ht="31.5" x14ac:dyDescent="0.25">
      <c r="A92" s="16"/>
      <c r="B92" s="39" t="s">
        <v>360</v>
      </c>
      <c r="C92" s="24" t="s">
        <v>199</v>
      </c>
      <c r="D92" s="25" t="s">
        <v>21</v>
      </c>
      <c r="E92" s="26">
        <v>4939.3900000000003</v>
      </c>
      <c r="F92" s="34" t="s">
        <v>9</v>
      </c>
      <c r="G92" s="28" t="s">
        <v>200</v>
      </c>
    </row>
    <row r="93" spans="1:7" ht="31.5" x14ac:dyDescent="0.25">
      <c r="A93" s="16"/>
      <c r="B93" s="39" t="s">
        <v>361</v>
      </c>
      <c r="C93" s="24" t="s">
        <v>201</v>
      </c>
      <c r="D93" s="25" t="s">
        <v>21</v>
      </c>
      <c r="E93" s="26">
        <v>5478.4</v>
      </c>
      <c r="F93" s="34" t="s">
        <v>9</v>
      </c>
      <c r="G93" s="28" t="s">
        <v>200</v>
      </c>
    </row>
    <row r="94" spans="1:7" ht="31.5" x14ac:dyDescent="0.25">
      <c r="A94" s="16"/>
      <c r="B94" s="39" t="s">
        <v>362</v>
      </c>
      <c r="C94" s="24" t="s">
        <v>202</v>
      </c>
      <c r="D94" s="25" t="s">
        <v>14</v>
      </c>
      <c r="E94" s="26">
        <v>16161</v>
      </c>
      <c r="F94" s="34" t="s">
        <v>9</v>
      </c>
      <c r="G94" s="28" t="s">
        <v>182</v>
      </c>
    </row>
    <row r="95" spans="1:7" ht="31.5" x14ac:dyDescent="0.25">
      <c r="A95" s="16"/>
      <c r="B95" s="39" t="s">
        <v>363</v>
      </c>
      <c r="C95" s="24" t="s">
        <v>203</v>
      </c>
      <c r="D95" s="25" t="s">
        <v>21</v>
      </c>
      <c r="E95" s="26">
        <v>7623.6</v>
      </c>
      <c r="F95" s="34" t="s">
        <v>9</v>
      </c>
      <c r="G95" s="28" t="s">
        <v>200</v>
      </c>
    </row>
    <row r="96" spans="1:7" x14ac:dyDescent="0.25">
      <c r="A96" s="16"/>
      <c r="B96" s="39" t="s">
        <v>364</v>
      </c>
      <c r="C96" s="24" t="s">
        <v>204</v>
      </c>
      <c r="D96" s="25" t="s">
        <v>21</v>
      </c>
      <c r="E96" s="26">
        <v>38000</v>
      </c>
      <c r="F96" s="34" t="s">
        <v>9</v>
      </c>
      <c r="G96" s="28" t="s">
        <v>144</v>
      </c>
    </row>
    <row r="97" spans="1:7" x14ac:dyDescent="0.25">
      <c r="A97" s="16"/>
      <c r="B97" s="39" t="s">
        <v>365</v>
      </c>
      <c r="C97" s="24" t="s">
        <v>205</v>
      </c>
      <c r="D97" s="25" t="s">
        <v>14</v>
      </c>
      <c r="E97" s="26">
        <v>2620600</v>
      </c>
      <c r="F97" s="34" t="s">
        <v>9</v>
      </c>
      <c r="G97" s="28" t="s">
        <v>135</v>
      </c>
    </row>
    <row r="98" spans="1:7" x14ac:dyDescent="0.25">
      <c r="A98" s="16"/>
      <c r="B98" s="39" t="s">
        <v>366</v>
      </c>
      <c r="C98" s="24" t="s">
        <v>206</v>
      </c>
      <c r="D98" s="25" t="s">
        <v>14</v>
      </c>
      <c r="E98" s="26">
        <v>2662900</v>
      </c>
      <c r="F98" s="34" t="s">
        <v>9</v>
      </c>
      <c r="G98" s="28" t="s">
        <v>135</v>
      </c>
    </row>
    <row r="99" spans="1:7" x14ac:dyDescent="0.25">
      <c r="A99" s="16"/>
      <c r="B99" s="39" t="s">
        <v>367</v>
      </c>
      <c r="C99" s="24" t="s">
        <v>207</v>
      </c>
      <c r="D99" s="25" t="s">
        <v>128</v>
      </c>
      <c r="E99" s="26">
        <v>439.17</v>
      </c>
      <c r="F99" s="34" t="s">
        <v>9</v>
      </c>
      <c r="G99" s="28" t="s">
        <v>208</v>
      </c>
    </row>
    <row r="100" spans="1:7" x14ac:dyDescent="0.25">
      <c r="A100" s="16"/>
      <c r="B100" s="39" t="s">
        <v>368</v>
      </c>
      <c r="C100" s="24" t="s">
        <v>209</v>
      </c>
      <c r="D100" s="25" t="s">
        <v>31</v>
      </c>
      <c r="E100" s="26">
        <v>8.86</v>
      </c>
      <c r="F100" s="34" t="s">
        <v>9</v>
      </c>
      <c r="G100" s="28" t="s">
        <v>210</v>
      </c>
    </row>
    <row r="101" spans="1:7" x14ac:dyDescent="0.25">
      <c r="A101" s="16"/>
      <c r="B101" s="39" t="s">
        <v>369</v>
      </c>
      <c r="C101" s="24" t="s">
        <v>211</v>
      </c>
      <c r="D101" s="25" t="s">
        <v>31</v>
      </c>
      <c r="E101" s="26">
        <v>10.039999999999999</v>
      </c>
      <c r="F101" s="34" t="s">
        <v>9</v>
      </c>
      <c r="G101" s="28" t="s">
        <v>192</v>
      </c>
    </row>
    <row r="102" spans="1:7" x14ac:dyDescent="0.25">
      <c r="A102" s="16"/>
      <c r="B102" s="39" t="s">
        <v>370</v>
      </c>
      <c r="C102" s="24" t="s">
        <v>212</v>
      </c>
      <c r="D102" s="25" t="s">
        <v>8</v>
      </c>
      <c r="E102" s="26">
        <v>7300</v>
      </c>
      <c r="F102" s="34" t="s">
        <v>9</v>
      </c>
      <c r="G102" s="28" t="s">
        <v>183</v>
      </c>
    </row>
    <row r="103" spans="1:7" x14ac:dyDescent="0.25">
      <c r="A103" s="16"/>
      <c r="B103" s="20">
        <v>6</v>
      </c>
      <c r="C103" s="21" t="s">
        <v>213</v>
      </c>
      <c r="D103" s="20"/>
      <c r="E103" s="30"/>
      <c r="F103" s="20"/>
      <c r="G103" s="22"/>
    </row>
    <row r="104" spans="1:7" ht="33" x14ac:dyDescent="0.25">
      <c r="A104" s="16"/>
      <c r="B104" s="39" t="s">
        <v>130</v>
      </c>
      <c r="C104" s="15" t="s">
        <v>214</v>
      </c>
      <c r="D104" s="14" t="s">
        <v>127</v>
      </c>
      <c r="E104" s="12">
        <v>23793</v>
      </c>
      <c r="F104" s="13" t="s">
        <v>9</v>
      </c>
      <c r="G104" s="10" t="s">
        <v>215</v>
      </c>
    </row>
    <row r="105" spans="1:7" ht="33" x14ac:dyDescent="0.25">
      <c r="A105" s="16"/>
      <c r="B105" s="39" t="s">
        <v>133</v>
      </c>
      <c r="C105" s="15" t="s">
        <v>216</v>
      </c>
      <c r="D105" s="14" t="s">
        <v>127</v>
      </c>
      <c r="E105" s="12">
        <v>31209</v>
      </c>
      <c r="F105" s="13" t="s">
        <v>9</v>
      </c>
      <c r="G105" s="10" t="s">
        <v>215</v>
      </c>
    </row>
    <row r="106" spans="1:7" ht="33" x14ac:dyDescent="0.25">
      <c r="A106" s="16"/>
      <c r="B106" s="39" t="s">
        <v>136</v>
      </c>
      <c r="C106" s="15" t="s">
        <v>331</v>
      </c>
      <c r="D106" s="14" t="s">
        <v>127</v>
      </c>
      <c r="E106" s="12">
        <v>34723.360000000001</v>
      </c>
      <c r="F106" s="13" t="s">
        <v>9</v>
      </c>
      <c r="G106" s="10" t="s">
        <v>215</v>
      </c>
    </row>
    <row r="107" spans="1:7" ht="49.5" x14ac:dyDescent="0.25">
      <c r="A107" s="16"/>
      <c r="B107" s="39" t="s">
        <v>139</v>
      </c>
      <c r="C107" s="15" t="s">
        <v>217</v>
      </c>
      <c r="D107" s="14" t="s">
        <v>127</v>
      </c>
      <c r="E107" s="12">
        <v>122121.09</v>
      </c>
      <c r="F107" s="13" t="s">
        <v>9</v>
      </c>
      <c r="G107" s="10" t="s">
        <v>218</v>
      </c>
    </row>
    <row r="108" spans="1:7" ht="49.5" x14ac:dyDescent="0.25">
      <c r="A108" s="16"/>
      <c r="B108" s="39" t="s">
        <v>142</v>
      </c>
      <c r="C108" s="15" t="s">
        <v>219</v>
      </c>
      <c r="D108" s="14" t="s">
        <v>127</v>
      </c>
      <c r="E108" s="12">
        <v>129050.09</v>
      </c>
      <c r="F108" s="13" t="s">
        <v>9</v>
      </c>
      <c r="G108" s="10" t="s">
        <v>218</v>
      </c>
    </row>
    <row r="109" spans="1:7" ht="49.5" x14ac:dyDescent="0.25">
      <c r="A109" s="16"/>
      <c r="B109" s="39" t="s">
        <v>145</v>
      </c>
      <c r="C109" s="15" t="s">
        <v>220</v>
      </c>
      <c r="D109" s="14" t="s">
        <v>127</v>
      </c>
      <c r="E109" s="12">
        <v>135990.29999999999</v>
      </c>
      <c r="F109" s="13" t="s">
        <v>9</v>
      </c>
      <c r="G109" s="10" t="s">
        <v>218</v>
      </c>
    </row>
    <row r="110" spans="1:7" ht="33" x14ac:dyDescent="0.25">
      <c r="A110" s="16"/>
      <c r="B110" s="39" t="s">
        <v>147</v>
      </c>
      <c r="C110" s="15" t="s">
        <v>221</v>
      </c>
      <c r="D110" s="14" t="s">
        <v>127</v>
      </c>
      <c r="E110" s="12">
        <v>245434.78</v>
      </c>
      <c r="F110" s="13" t="s">
        <v>9</v>
      </c>
      <c r="G110" s="10" t="s">
        <v>222</v>
      </c>
    </row>
    <row r="111" spans="1:7" ht="33" x14ac:dyDescent="0.25">
      <c r="A111" s="16"/>
      <c r="B111" s="39" t="s">
        <v>148</v>
      </c>
      <c r="C111" s="15" t="s">
        <v>223</v>
      </c>
      <c r="D111" s="14" t="s">
        <v>127</v>
      </c>
      <c r="E111" s="12">
        <v>2210470.125</v>
      </c>
      <c r="F111" s="13" t="s">
        <v>9</v>
      </c>
      <c r="G111" s="10" t="s">
        <v>224</v>
      </c>
    </row>
    <row r="112" spans="1:7" ht="33" x14ac:dyDescent="0.25">
      <c r="A112" s="16"/>
      <c r="B112" s="39" t="s">
        <v>151</v>
      </c>
      <c r="C112" s="15" t="s">
        <v>225</v>
      </c>
      <c r="D112" s="14" t="s">
        <v>127</v>
      </c>
      <c r="E112" s="12">
        <v>3348886.6375000002</v>
      </c>
      <c r="F112" s="13" t="s">
        <v>9</v>
      </c>
      <c r="G112" s="10" t="s">
        <v>224</v>
      </c>
    </row>
    <row r="113" spans="1:7" ht="33" x14ac:dyDescent="0.25">
      <c r="A113" s="16"/>
      <c r="B113" s="39" t="s">
        <v>153</v>
      </c>
      <c r="C113" s="15" t="s">
        <v>226</v>
      </c>
      <c r="D113" s="14" t="s">
        <v>127</v>
      </c>
      <c r="E113" s="12">
        <v>167519.20000000001</v>
      </c>
      <c r="F113" s="13" t="s">
        <v>9</v>
      </c>
      <c r="G113" s="10" t="s">
        <v>227</v>
      </c>
    </row>
    <row r="114" spans="1:7" ht="33" x14ac:dyDescent="0.25">
      <c r="A114" s="16"/>
      <c r="B114" s="39" t="s">
        <v>154</v>
      </c>
      <c r="C114" s="15" t="s">
        <v>228</v>
      </c>
      <c r="D114" s="14" t="s">
        <v>127</v>
      </c>
      <c r="E114" s="12">
        <v>67774</v>
      </c>
      <c r="F114" s="13" t="s">
        <v>9</v>
      </c>
      <c r="G114" s="10" t="s">
        <v>229</v>
      </c>
    </row>
    <row r="115" spans="1:7" ht="33" x14ac:dyDescent="0.25">
      <c r="A115" s="16"/>
      <c r="B115" s="39" t="s">
        <v>157</v>
      </c>
      <c r="C115" s="15" t="s">
        <v>332</v>
      </c>
      <c r="D115" s="14" t="s">
        <v>127</v>
      </c>
      <c r="E115" s="12">
        <v>26116.68</v>
      </c>
      <c r="F115" s="13" t="s">
        <v>9</v>
      </c>
      <c r="G115" s="10" t="s">
        <v>227</v>
      </c>
    </row>
    <row r="116" spans="1:7" ht="33" x14ac:dyDescent="0.25">
      <c r="A116" s="16"/>
      <c r="B116" s="39" t="s">
        <v>160</v>
      </c>
      <c r="C116" s="15" t="s">
        <v>333</v>
      </c>
      <c r="D116" s="14" t="s">
        <v>127</v>
      </c>
      <c r="E116" s="12">
        <v>94933.040000000008</v>
      </c>
      <c r="F116" s="13" t="s">
        <v>9</v>
      </c>
      <c r="G116" s="10" t="s">
        <v>227</v>
      </c>
    </row>
    <row r="117" spans="1:7" ht="33" x14ac:dyDescent="0.25">
      <c r="A117" s="16"/>
      <c r="B117" s="39" t="s">
        <v>163</v>
      </c>
      <c r="C117" s="15" t="s">
        <v>230</v>
      </c>
      <c r="D117" s="14" t="s">
        <v>127</v>
      </c>
      <c r="E117" s="12">
        <v>101558</v>
      </c>
      <c r="F117" s="13" t="s">
        <v>9</v>
      </c>
      <c r="G117" s="10" t="s">
        <v>229</v>
      </c>
    </row>
    <row r="118" spans="1:7" ht="33" x14ac:dyDescent="0.25">
      <c r="A118" s="16"/>
      <c r="B118" s="39" t="s">
        <v>166</v>
      </c>
      <c r="C118" s="15" t="s">
        <v>231</v>
      </c>
      <c r="D118" s="14" t="s">
        <v>127</v>
      </c>
      <c r="E118" s="12">
        <v>167519.20000000001</v>
      </c>
      <c r="F118" s="13" t="s">
        <v>9</v>
      </c>
      <c r="G118" s="10" t="s">
        <v>229</v>
      </c>
    </row>
    <row r="119" spans="1:7" ht="33" x14ac:dyDescent="0.25">
      <c r="A119" s="16"/>
      <c r="B119" s="39" t="s">
        <v>169</v>
      </c>
      <c r="C119" s="15" t="s">
        <v>232</v>
      </c>
      <c r="D119" s="14" t="s">
        <v>127</v>
      </c>
      <c r="E119" s="12">
        <v>144043.44</v>
      </c>
      <c r="F119" s="13" t="s">
        <v>9</v>
      </c>
      <c r="G119" s="10" t="s">
        <v>229</v>
      </c>
    </row>
    <row r="120" spans="1:7" ht="33" x14ac:dyDescent="0.25">
      <c r="A120" s="16"/>
      <c r="B120" s="39" t="s">
        <v>171</v>
      </c>
      <c r="C120" s="15" t="s">
        <v>233</v>
      </c>
      <c r="D120" s="14" t="s">
        <v>127</v>
      </c>
      <c r="E120" s="12">
        <v>70967</v>
      </c>
      <c r="F120" s="13" t="s">
        <v>9</v>
      </c>
      <c r="G120" s="10" t="s">
        <v>229</v>
      </c>
    </row>
    <row r="121" spans="1:7" ht="33" x14ac:dyDescent="0.25">
      <c r="A121" s="16"/>
      <c r="B121" s="39" t="s">
        <v>173</v>
      </c>
      <c r="C121" s="15" t="s">
        <v>234</v>
      </c>
      <c r="D121" s="14" t="s">
        <v>127</v>
      </c>
      <c r="E121" s="12">
        <v>4861085</v>
      </c>
      <c r="F121" s="13" t="s">
        <v>9</v>
      </c>
      <c r="G121" s="10" t="s">
        <v>224</v>
      </c>
    </row>
    <row r="122" spans="1:7" ht="33" x14ac:dyDescent="0.25">
      <c r="A122" s="16"/>
      <c r="B122" s="39" t="s">
        <v>175</v>
      </c>
      <c r="C122" s="15" t="s">
        <v>235</v>
      </c>
      <c r="D122" s="14" t="s">
        <v>127</v>
      </c>
      <c r="E122" s="12">
        <v>3743035.45</v>
      </c>
      <c r="F122" s="13" t="s">
        <v>9</v>
      </c>
      <c r="G122" s="10" t="s">
        <v>224</v>
      </c>
    </row>
    <row r="123" spans="1:7" ht="16.5" x14ac:dyDescent="0.25">
      <c r="A123" s="16"/>
      <c r="B123" s="39" t="s">
        <v>177</v>
      </c>
      <c r="C123" s="15" t="s">
        <v>236</v>
      </c>
      <c r="D123" s="14" t="s">
        <v>127</v>
      </c>
      <c r="E123" s="12">
        <v>360500</v>
      </c>
      <c r="F123" s="13" t="s">
        <v>9</v>
      </c>
      <c r="G123" s="10" t="s">
        <v>237</v>
      </c>
    </row>
    <row r="124" spans="1:7" x14ac:dyDescent="0.25">
      <c r="A124" s="16"/>
      <c r="B124" s="20">
        <v>7</v>
      </c>
      <c r="C124" s="21" t="s">
        <v>238</v>
      </c>
      <c r="D124" s="20"/>
      <c r="E124" s="30"/>
      <c r="F124" s="20"/>
      <c r="G124" s="22"/>
    </row>
    <row r="125" spans="1:7" x14ac:dyDescent="0.25">
      <c r="A125" s="16"/>
      <c r="B125" s="23">
        <v>45664</v>
      </c>
      <c r="C125" s="24" t="s">
        <v>239</v>
      </c>
      <c r="D125" s="25" t="s">
        <v>11</v>
      </c>
      <c r="E125" s="33">
        <v>64890</v>
      </c>
      <c r="F125" s="34" t="s">
        <v>9</v>
      </c>
      <c r="G125" s="28" t="s">
        <v>240</v>
      </c>
    </row>
    <row r="126" spans="1:7" x14ac:dyDescent="0.25">
      <c r="A126" s="16"/>
      <c r="B126" s="23">
        <v>45695</v>
      </c>
      <c r="C126" s="24" t="s">
        <v>241</v>
      </c>
      <c r="D126" s="25" t="s">
        <v>11</v>
      </c>
      <c r="E126" s="33">
        <v>56856</v>
      </c>
      <c r="F126" s="34" t="s">
        <v>9</v>
      </c>
      <c r="G126" s="28" t="s">
        <v>240</v>
      </c>
    </row>
    <row r="127" spans="1:7" x14ac:dyDescent="0.25">
      <c r="A127" s="16"/>
      <c r="B127" s="20">
        <v>8</v>
      </c>
      <c r="C127" s="21" t="s">
        <v>242</v>
      </c>
      <c r="D127" s="20"/>
      <c r="E127" s="30"/>
      <c r="F127" s="20"/>
      <c r="G127" s="22"/>
    </row>
    <row r="128" spans="1:7" x14ac:dyDescent="0.25">
      <c r="A128" s="16"/>
      <c r="B128" s="23">
        <v>45665</v>
      </c>
      <c r="C128" s="24" t="s">
        <v>243</v>
      </c>
      <c r="D128" s="43" t="s">
        <v>127</v>
      </c>
      <c r="E128" s="33">
        <v>4551341</v>
      </c>
      <c r="F128" s="44" t="s">
        <v>9</v>
      </c>
      <c r="G128" s="28" t="s">
        <v>244</v>
      </c>
    </row>
    <row r="129" spans="1:7" ht="31.5" x14ac:dyDescent="0.25">
      <c r="A129" s="16"/>
      <c r="B129" s="23">
        <v>45696</v>
      </c>
      <c r="C129" s="24" t="s">
        <v>245</v>
      </c>
      <c r="D129" s="43" t="s">
        <v>127</v>
      </c>
      <c r="E129" s="33">
        <v>4319</v>
      </c>
      <c r="F129" s="44" t="s">
        <v>9</v>
      </c>
      <c r="G129" s="28" t="s">
        <v>246</v>
      </c>
    </row>
    <row r="130" spans="1:7" ht="31.5" x14ac:dyDescent="0.25">
      <c r="A130" s="16"/>
      <c r="B130" s="23">
        <v>45724</v>
      </c>
      <c r="C130" s="24" t="s">
        <v>247</v>
      </c>
      <c r="D130" s="43" t="s">
        <v>127</v>
      </c>
      <c r="E130" s="33">
        <v>873.9</v>
      </c>
      <c r="F130" s="44" t="s">
        <v>9</v>
      </c>
      <c r="G130" s="28" t="s">
        <v>246</v>
      </c>
    </row>
    <row r="131" spans="1:7" ht="31.5" x14ac:dyDescent="0.25">
      <c r="A131" s="16"/>
      <c r="B131" s="23">
        <v>45755</v>
      </c>
      <c r="C131" s="24" t="s">
        <v>248</v>
      </c>
      <c r="D131" s="43" t="s">
        <v>127</v>
      </c>
      <c r="E131" s="33">
        <v>1239</v>
      </c>
      <c r="F131" s="44" t="s">
        <v>9</v>
      </c>
      <c r="G131" s="28" t="s">
        <v>249</v>
      </c>
    </row>
    <row r="132" spans="1:7" ht="31.5" x14ac:dyDescent="0.25">
      <c r="A132" s="16"/>
      <c r="B132" s="23">
        <v>45785</v>
      </c>
      <c r="C132" s="24" t="s">
        <v>250</v>
      </c>
      <c r="D132" s="43" t="s">
        <v>127</v>
      </c>
      <c r="E132" s="33">
        <v>5200</v>
      </c>
      <c r="F132" s="44" t="s">
        <v>9</v>
      </c>
      <c r="G132" s="28" t="s">
        <v>251</v>
      </c>
    </row>
    <row r="133" spans="1:7" x14ac:dyDescent="0.25">
      <c r="A133" s="16"/>
      <c r="B133" s="23">
        <v>45816</v>
      </c>
      <c r="C133" s="24" t="s">
        <v>252</v>
      </c>
      <c r="D133" s="43" t="s">
        <v>127</v>
      </c>
      <c r="E133" s="33">
        <v>17810400</v>
      </c>
      <c r="F133" s="44" t="s">
        <v>9</v>
      </c>
      <c r="G133" s="28" t="s">
        <v>253</v>
      </c>
    </row>
    <row r="134" spans="1:7" x14ac:dyDescent="0.25">
      <c r="A134" s="16"/>
      <c r="B134" s="20">
        <v>9</v>
      </c>
      <c r="C134" s="21" t="s">
        <v>254</v>
      </c>
      <c r="D134" s="20"/>
      <c r="E134" s="30"/>
      <c r="F134" s="20"/>
      <c r="G134" s="22"/>
    </row>
    <row r="135" spans="1:7" ht="78.75" x14ac:dyDescent="0.25">
      <c r="A135" s="16"/>
      <c r="B135" s="23">
        <v>45666</v>
      </c>
      <c r="C135" s="24" t="s">
        <v>255</v>
      </c>
      <c r="D135" s="25" t="s">
        <v>127</v>
      </c>
      <c r="E135" s="26">
        <v>11970179.1</v>
      </c>
      <c r="F135" s="44" t="s">
        <v>9</v>
      </c>
      <c r="G135" s="28" t="s">
        <v>256</v>
      </c>
    </row>
    <row r="136" spans="1:7" ht="63" x14ac:dyDescent="0.25">
      <c r="A136" s="16"/>
      <c r="B136" s="23">
        <v>45697</v>
      </c>
      <c r="C136" s="24" t="s">
        <v>257</v>
      </c>
      <c r="D136" s="25" t="s">
        <v>127</v>
      </c>
      <c r="E136" s="26">
        <v>11970179.1</v>
      </c>
      <c r="F136" s="44" t="s">
        <v>9</v>
      </c>
      <c r="G136" s="28" t="s">
        <v>256</v>
      </c>
    </row>
    <row r="137" spans="1:7" ht="94.5" x14ac:dyDescent="0.25">
      <c r="A137" s="16"/>
      <c r="B137" s="23">
        <v>45725</v>
      </c>
      <c r="C137" s="24" t="s">
        <v>258</v>
      </c>
      <c r="D137" s="25" t="s">
        <v>127</v>
      </c>
      <c r="E137" s="26">
        <v>13188578.26</v>
      </c>
      <c r="F137" s="44" t="s">
        <v>9</v>
      </c>
      <c r="G137" s="28" t="s">
        <v>256</v>
      </c>
    </row>
    <row r="138" spans="1:7" ht="63" x14ac:dyDescent="0.25">
      <c r="A138" s="16"/>
      <c r="B138" s="23">
        <v>45756</v>
      </c>
      <c r="C138" s="24" t="s">
        <v>259</v>
      </c>
      <c r="D138" s="25" t="s">
        <v>127</v>
      </c>
      <c r="E138" s="26">
        <v>4710765.9000000004</v>
      </c>
      <c r="F138" s="44" t="s">
        <v>9</v>
      </c>
      <c r="G138" s="28" t="s">
        <v>256</v>
      </c>
    </row>
    <row r="139" spans="1:7" ht="94.5" x14ac:dyDescent="0.25">
      <c r="A139" s="16"/>
      <c r="B139" s="23">
        <v>45786</v>
      </c>
      <c r="C139" s="24" t="s">
        <v>260</v>
      </c>
      <c r="D139" s="25" t="s">
        <v>127</v>
      </c>
      <c r="E139" s="26">
        <v>6760712.6699999999</v>
      </c>
      <c r="F139" s="44" t="s">
        <v>9</v>
      </c>
      <c r="G139" s="28" t="s">
        <v>256</v>
      </c>
    </row>
    <row r="140" spans="1:7" ht="63" x14ac:dyDescent="0.25">
      <c r="A140" s="16"/>
      <c r="B140" s="23">
        <v>45817</v>
      </c>
      <c r="C140" s="24" t="s">
        <v>261</v>
      </c>
      <c r="D140" s="25" t="s">
        <v>127</v>
      </c>
      <c r="E140" s="26">
        <v>5012286.2699999996</v>
      </c>
      <c r="F140" s="44" t="s">
        <v>9</v>
      </c>
      <c r="G140" s="28" t="s">
        <v>256</v>
      </c>
    </row>
    <row r="141" spans="1:7" ht="94.5" x14ac:dyDescent="0.25">
      <c r="A141" s="16"/>
      <c r="B141" s="23">
        <v>45847</v>
      </c>
      <c r="C141" s="24" t="s">
        <v>262</v>
      </c>
      <c r="D141" s="25" t="s">
        <v>127</v>
      </c>
      <c r="E141" s="26">
        <v>7261941.3899999997</v>
      </c>
      <c r="F141" s="44" t="s">
        <v>9</v>
      </c>
      <c r="G141" s="28" t="s">
        <v>256</v>
      </c>
    </row>
    <row r="142" spans="1:7" ht="63" x14ac:dyDescent="0.25">
      <c r="A142" s="16"/>
      <c r="B142" s="23">
        <v>45878</v>
      </c>
      <c r="C142" s="24" t="s">
        <v>263</v>
      </c>
      <c r="D142" s="25" t="s">
        <v>127</v>
      </c>
      <c r="E142" s="26">
        <v>4710765.9000000004</v>
      </c>
      <c r="F142" s="44" t="s">
        <v>9</v>
      </c>
      <c r="G142" s="28" t="s">
        <v>256</v>
      </c>
    </row>
    <row r="143" spans="1:7" ht="94.5" x14ac:dyDescent="0.25">
      <c r="A143" s="16"/>
      <c r="B143" s="23">
        <v>45909</v>
      </c>
      <c r="C143" s="24" t="s">
        <v>264</v>
      </c>
      <c r="D143" s="25" t="s">
        <v>127</v>
      </c>
      <c r="E143" s="26">
        <v>6760712.6699999999</v>
      </c>
      <c r="F143" s="44" t="s">
        <v>9</v>
      </c>
      <c r="G143" s="28" t="s">
        <v>256</v>
      </c>
    </row>
    <row r="144" spans="1:7" ht="63" x14ac:dyDescent="0.25">
      <c r="A144" s="16"/>
      <c r="B144" s="23">
        <v>45939</v>
      </c>
      <c r="C144" s="24" t="s">
        <v>265</v>
      </c>
      <c r="D144" s="25" t="s">
        <v>127</v>
      </c>
      <c r="E144" s="26">
        <v>16687389.029999999</v>
      </c>
      <c r="F144" s="44" t="s">
        <v>9</v>
      </c>
      <c r="G144" s="28" t="s">
        <v>256</v>
      </c>
    </row>
    <row r="145" spans="1:7" ht="78.75" x14ac:dyDescent="0.25">
      <c r="A145" s="16"/>
      <c r="B145" s="23">
        <v>45970</v>
      </c>
      <c r="C145" s="24" t="s">
        <v>266</v>
      </c>
      <c r="D145" s="25" t="s">
        <v>127</v>
      </c>
      <c r="E145" s="26">
        <v>16687389.029999999</v>
      </c>
      <c r="F145" s="44" t="s">
        <v>9</v>
      </c>
      <c r="G145" s="28" t="s">
        <v>256</v>
      </c>
    </row>
    <row r="146" spans="1:7" ht="63" x14ac:dyDescent="0.25">
      <c r="A146" s="16"/>
      <c r="B146" s="23">
        <v>46000</v>
      </c>
      <c r="C146" s="24" t="s">
        <v>267</v>
      </c>
      <c r="D146" s="25" t="s">
        <v>127</v>
      </c>
      <c r="E146" s="26">
        <v>16687389.029999999</v>
      </c>
      <c r="F146" s="44" t="s">
        <v>9</v>
      </c>
      <c r="G146" s="28" t="s">
        <v>256</v>
      </c>
    </row>
    <row r="147" spans="1:7" ht="94.5" x14ac:dyDescent="0.25">
      <c r="A147" s="16"/>
      <c r="B147" s="23">
        <v>46031</v>
      </c>
      <c r="C147" s="24" t="s">
        <v>269</v>
      </c>
      <c r="D147" s="25" t="s">
        <v>127</v>
      </c>
      <c r="E147" s="26">
        <v>18899843.489999998</v>
      </c>
      <c r="F147" s="44" t="s">
        <v>9</v>
      </c>
      <c r="G147" s="28" t="s">
        <v>256</v>
      </c>
    </row>
    <row r="148" spans="1:7" ht="78.75" x14ac:dyDescent="0.25">
      <c r="A148" s="16"/>
      <c r="B148" s="23">
        <v>46062</v>
      </c>
      <c r="C148" s="24" t="s">
        <v>271</v>
      </c>
      <c r="D148" s="25" t="s">
        <v>127</v>
      </c>
      <c r="E148" s="26">
        <v>3168199.05</v>
      </c>
      <c r="F148" s="44" t="s">
        <v>9</v>
      </c>
      <c r="G148" s="28" t="s">
        <v>256</v>
      </c>
    </row>
    <row r="149" spans="1:7" ht="78.75" x14ac:dyDescent="0.25">
      <c r="A149" s="16"/>
      <c r="B149" s="23">
        <v>46090</v>
      </c>
      <c r="C149" s="24" t="s">
        <v>273</v>
      </c>
      <c r="D149" s="25" t="s">
        <v>127</v>
      </c>
      <c r="E149" s="26">
        <v>3209454.3</v>
      </c>
      <c r="F149" s="44" t="s">
        <v>9</v>
      </c>
      <c r="G149" s="28" t="s">
        <v>256</v>
      </c>
    </row>
    <row r="150" spans="1:7" ht="63" x14ac:dyDescent="0.25">
      <c r="A150" s="16"/>
      <c r="B150" s="23">
        <v>46121</v>
      </c>
      <c r="C150" s="24" t="s">
        <v>275</v>
      </c>
      <c r="D150" s="25" t="s">
        <v>127</v>
      </c>
      <c r="E150" s="26">
        <v>3524263.75</v>
      </c>
      <c r="F150" s="44" t="s">
        <v>9</v>
      </c>
      <c r="G150" s="28" t="s">
        <v>256</v>
      </c>
    </row>
    <row r="151" spans="1:7" ht="47.25" x14ac:dyDescent="0.25">
      <c r="A151" s="16"/>
      <c r="B151" s="23">
        <v>46151</v>
      </c>
      <c r="C151" s="24" t="s">
        <v>277</v>
      </c>
      <c r="D151" s="25" t="s">
        <v>127</v>
      </c>
      <c r="E151" s="26">
        <v>1315945</v>
      </c>
      <c r="F151" s="44" t="s">
        <v>9</v>
      </c>
      <c r="G151" s="28" t="s">
        <v>278</v>
      </c>
    </row>
    <row r="152" spans="1:7" ht="47.25" x14ac:dyDescent="0.25">
      <c r="A152" s="16"/>
      <c r="B152" s="23">
        <v>46182</v>
      </c>
      <c r="C152" s="24" t="s">
        <v>280</v>
      </c>
      <c r="D152" s="25" t="s">
        <v>127</v>
      </c>
      <c r="E152" s="26">
        <v>1188870</v>
      </c>
      <c r="F152" s="44" t="s">
        <v>9</v>
      </c>
      <c r="G152" s="28" t="s">
        <v>278</v>
      </c>
    </row>
    <row r="153" spans="1:7" x14ac:dyDescent="0.25">
      <c r="A153" s="16"/>
      <c r="B153" s="20">
        <v>10</v>
      </c>
      <c r="C153" s="21" t="s">
        <v>281</v>
      </c>
      <c r="D153" s="20"/>
      <c r="E153" s="30"/>
      <c r="F153" s="20"/>
      <c r="G153" s="22"/>
    </row>
    <row r="154" spans="1:7" x14ac:dyDescent="0.25">
      <c r="A154" s="16"/>
      <c r="B154" s="39" t="s">
        <v>371</v>
      </c>
      <c r="C154" s="24" t="s">
        <v>282</v>
      </c>
      <c r="D154" s="25" t="s">
        <v>44</v>
      </c>
      <c r="E154" s="26">
        <v>805.99</v>
      </c>
      <c r="F154" s="27" t="s">
        <v>9</v>
      </c>
      <c r="G154" s="28" t="s">
        <v>283</v>
      </c>
    </row>
    <row r="155" spans="1:7" x14ac:dyDescent="0.25">
      <c r="A155" s="16"/>
      <c r="B155" s="39" t="s">
        <v>372</v>
      </c>
      <c r="C155" s="24" t="s">
        <v>284</v>
      </c>
      <c r="D155" s="25" t="s">
        <v>21</v>
      </c>
      <c r="E155" s="26">
        <v>1579.43</v>
      </c>
      <c r="F155" s="27" t="s">
        <v>9</v>
      </c>
      <c r="G155" s="28" t="s">
        <v>285</v>
      </c>
    </row>
    <row r="156" spans="1:7" ht="31.5" x14ac:dyDescent="0.25">
      <c r="A156" s="16"/>
      <c r="B156" s="39" t="s">
        <v>373</v>
      </c>
      <c r="C156" s="24" t="s">
        <v>286</v>
      </c>
      <c r="D156" s="25" t="s">
        <v>14</v>
      </c>
      <c r="E156" s="26">
        <v>13518.75</v>
      </c>
      <c r="F156" s="27" t="s">
        <v>9</v>
      </c>
      <c r="G156" s="28" t="s">
        <v>287</v>
      </c>
    </row>
    <row r="157" spans="1:7" ht="31.5" x14ac:dyDescent="0.25">
      <c r="A157" s="16"/>
      <c r="B157" s="39" t="s">
        <v>374</v>
      </c>
      <c r="C157" s="24" t="s">
        <v>288</v>
      </c>
      <c r="D157" s="25" t="s">
        <v>14</v>
      </c>
      <c r="E157" s="26">
        <v>13518.75</v>
      </c>
      <c r="F157" s="27" t="s">
        <v>9</v>
      </c>
      <c r="G157" s="28" t="s">
        <v>287</v>
      </c>
    </row>
    <row r="158" spans="1:7" ht="31.5" x14ac:dyDescent="0.25">
      <c r="A158" s="16"/>
      <c r="B158" s="39" t="s">
        <v>375</v>
      </c>
      <c r="C158" s="24" t="s">
        <v>289</v>
      </c>
      <c r="D158" s="25" t="s">
        <v>14</v>
      </c>
      <c r="E158" s="26">
        <v>29200.5</v>
      </c>
      <c r="F158" s="27" t="s">
        <v>9</v>
      </c>
      <c r="G158" s="28" t="s">
        <v>287</v>
      </c>
    </row>
    <row r="159" spans="1:7" x14ac:dyDescent="0.25">
      <c r="A159" s="16"/>
      <c r="B159" s="39" t="s">
        <v>376</v>
      </c>
      <c r="C159" s="24" t="s">
        <v>290</v>
      </c>
      <c r="D159" s="25" t="s">
        <v>14</v>
      </c>
      <c r="E159" s="26">
        <v>233700.82</v>
      </c>
      <c r="F159" s="27" t="s">
        <v>9</v>
      </c>
      <c r="G159" s="28" t="s">
        <v>291</v>
      </c>
    </row>
    <row r="160" spans="1:7" x14ac:dyDescent="0.25">
      <c r="A160" s="16"/>
      <c r="B160" s="39" t="s">
        <v>377</v>
      </c>
      <c r="C160" s="24" t="s">
        <v>292</v>
      </c>
      <c r="D160" s="25" t="s">
        <v>14</v>
      </c>
      <c r="E160" s="26">
        <v>12414519.24</v>
      </c>
      <c r="F160" s="27" t="s">
        <v>9</v>
      </c>
      <c r="G160" s="28" t="s">
        <v>293</v>
      </c>
    </row>
    <row r="161" spans="1:7" ht="31.5" x14ac:dyDescent="0.25">
      <c r="A161" s="16"/>
      <c r="B161" s="39" t="s">
        <v>378</v>
      </c>
      <c r="C161" s="24" t="s">
        <v>294</v>
      </c>
      <c r="D161" s="25" t="s">
        <v>14</v>
      </c>
      <c r="E161" s="26">
        <v>86005</v>
      </c>
      <c r="F161" s="27" t="s">
        <v>9</v>
      </c>
      <c r="G161" s="28" t="s">
        <v>287</v>
      </c>
    </row>
    <row r="162" spans="1:7" ht="31.5" x14ac:dyDescent="0.25">
      <c r="A162" s="16"/>
      <c r="B162" s="39" t="s">
        <v>379</v>
      </c>
      <c r="C162" s="24" t="s">
        <v>295</v>
      </c>
      <c r="D162" s="25" t="s">
        <v>14</v>
      </c>
      <c r="E162" s="26">
        <v>62315</v>
      </c>
      <c r="F162" s="27" t="s">
        <v>9</v>
      </c>
      <c r="G162" s="28" t="s">
        <v>287</v>
      </c>
    </row>
    <row r="163" spans="1:7" x14ac:dyDescent="0.25">
      <c r="A163" s="16"/>
      <c r="B163" s="39" t="s">
        <v>380</v>
      </c>
      <c r="C163" s="24" t="s">
        <v>296</v>
      </c>
      <c r="D163" s="25" t="s">
        <v>14</v>
      </c>
      <c r="E163" s="26">
        <v>497149.08</v>
      </c>
      <c r="F163" s="27" t="s">
        <v>9</v>
      </c>
      <c r="G163" s="28" t="s">
        <v>293</v>
      </c>
    </row>
    <row r="164" spans="1:7" x14ac:dyDescent="0.25">
      <c r="A164" s="16"/>
      <c r="B164" s="39" t="s">
        <v>381</v>
      </c>
      <c r="C164" s="24" t="s">
        <v>297</v>
      </c>
      <c r="D164" s="25" t="s">
        <v>14</v>
      </c>
      <c r="E164" s="26">
        <v>71440.800000000003</v>
      </c>
      <c r="F164" s="27" t="s">
        <v>9</v>
      </c>
      <c r="G164" s="28" t="s">
        <v>298</v>
      </c>
    </row>
    <row r="165" spans="1:7" ht="47.25" x14ac:dyDescent="0.25">
      <c r="A165" s="16"/>
      <c r="B165" s="39" t="s">
        <v>382</v>
      </c>
      <c r="C165" s="24" t="s">
        <v>299</v>
      </c>
      <c r="D165" s="25" t="s">
        <v>14</v>
      </c>
      <c r="E165" s="26">
        <v>210892.5</v>
      </c>
      <c r="F165" s="27" t="s">
        <v>9</v>
      </c>
      <c r="G165" s="28" t="s">
        <v>287</v>
      </c>
    </row>
    <row r="166" spans="1:7" x14ac:dyDescent="0.25">
      <c r="A166" s="16"/>
      <c r="B166" s="39" t="s">
        <v>268</v>
      </c>
      <c r="C166" s="24" t="s">
        <v>300</v>
      </c>
      <c r="D166" s="25" t="s">
        <v>14</v>
      </c>
      <c r="E166" s="26">
        <v>1383694.31</v>
      </c>
      <c r="F166" s="27" t="s">
        <v>9</v>
      </c>
      <c r="G166" s="28" t="s">
        <v>301</v>
      </c>
    </row>
    <row r="167" spans="1:7" ht="47.25" x14ac:dyDescent="0.25">
      <c r="A167" s="16"/>
      <c r="B167" s="39" t="s">
        <v>270</v>
      </c>
      <c r="C167" s="24" t="s">
        <v>302</v>
      </c>
      <c r="D167" s="25" t="s">
        <v>14</v>
      </c>
      <c r="E167" s="26">
        <v>118450</v>
      </c>
      <c r="F167" s="27" t="s">
        <v>9</v>
      </c>
      <c r="G167" s="28" t="s">
        <v>287</v>
      </c>
    </row>
    <row r="168" spans="1:7" ht="31.5" x14ac:dyDescent="0.25">
      <c r="A168" s="16"/>
      <c r="B168" s="39" t="s">
        <v>272</v>
      </c>
      <c r="C168" s="24" t="s">
        <v>303</v>
      </c>
      <c r="D168" s="25" t="s">
        <v>14</v>
      </c>
      <c r="E168" s="26">
        <v>6860.04</v>
      </c>
      <c r="F168" s="27" t="s">
        <v>9</v>
      </c>
      <c r="G168" s="28" t="s">
        <v>304</v>
      </c>
    </row>
    <row r="169" spans="1:7" ht="31.5" x14ac:dyDescent="0.25">
      <c r="A169" s="16"/>
      <c r="B169" s="39" t="s">
        <v>274</v>
      </c>
      <c r="C169" s="24" t="s">
        <v>305</v>
      </c>
      <c r="D169" s="25" t="s">
        <v>14</v>
      </c>
      <c r="E169" s="26">
        <v>15681.75</v>
      </c>
      <c r="F169" s="27" t="s">
        <v>9</v>
      </c>
      <c r="G169" s="28" t="s">
        <v>287</v>
      </c>
    </row>
    <row r="170" spans="1:7" ht="31.5" x14ac:dyDescent="0.25">
      <c r="A170" s="16"/>
      <c r="B170" s="39" t="s">
        <v>276</v>
      </c>
      <c r="C170" s="24" t="s">
        <v>306</v>
      </c>
      <c r="D170" s="25" t="s">
        <v>21</v>
      </c>
      <c r="E170" s="26">
        <v>1287.5</v>
      </c>
      <c r="F170" s="27" t="s">
        <v>9</v>
      </c>
      <c r="G170" s="28" t="s">
        <v>287</v>
      </c>
    </row>
    <row r="171" spans="1:7" ht="31.5" x14ac:dyDescent="0.25">
      <c r="A171" s="16"/>
      <c r="B171" s="39" t="s">
        <v>279</v>
      </c>
      <c r="C171" s="24" t="s">
        <v>307</v>
      </c>
      <c r="D171" s="25" t="s">
        <v>8</v>
      </c>
      <c r="E171" s="26">
        <v>3605</v>
      </c>
      <c r="F171" s="27" t="s">
        <v>9</v>
      </c>
      <c r="G171" s="28" t="s">
        <v>287</v>
      </c>
    </row>
    <row r="172" spans="1:7" ht="47.25" x14ac:dyDescent="0.25">
      <c r="A172" s="16"/>
      <c r="B172" s="39" t="s">
        <v>383</v>
      </c>
      <c r="C172" s="24" t="s">
        <v>308</v>
      </c>
      <c r="D172" s="25" t="s">
        <v>14</v>
      </c>
      <c r="E172" s="26">
        <v>32136</v>
      </c>
      <c r="F172" s="27" t="s">
        <v>9</v>
      </c>
      <c r="G172" s="28" t="s">
        <v>287</v>
      </c>
    </row>
    <row r="173" spans="1:7" ht="31.5" x14ac:dyDescent="0.25">
      <c r="A173" s="16"/>
      <c r="B173" s="39" t="s">
        <v>384</v>
      </c>
      <c r="C173" s="24" t="s">
        <v>309</v>
      </c>
      <c r="D173" s="25" t="s">
        <v>14</v>
      </c>
      <c r="E173" s="26">
        <v>243080</v>
      </c>
      <c r="F173" s="27" t="s">
        <v>9</v>
      </c>
      <c r="G173" s="28" t="s">
        <v>310</v>
      </c>
    </row>
    <row r="174" spans="1:7" ht="31.5" x14ac:dyDescent="0.25">
      <c r="A174" s="16"/>
      <c r="B174" s="39" t="s">
        <v>385</v>
      </c>
      <c r="C174" s="24" t="s">
        <v>311</v>
      </c>
      <c r="D174" s="25" t="s">
        <v>14</v>
      </c>
      <c r="E174" s="26">
        <v>38831</v>
      </c>
      <c r="F174" s="27" t="s">
        <v>9</v>
      </c>
      <c r="G174" s="28" t="s">
        <v>287</v>
      </c>
    </row>
    <row r="175" spans="1:7" ht="31.5" x14ac:dyDescent="0.25">
      <c r="A175" s="16"/>
      <c r="B175" s="39" t="s">
        <v>386</v>
      </c>
      <c r="C175" s="24" t="s">
        <v>312</v>
      </c>
      <c r="D175" s="25" t="s">
        <v>14</v>
      </c>
      <c r="E175" s="26">
        <v>49749</v>
      </c>
      <c r="F175" s="27" t="s">
        <v>9</v>
      </c>
      <c r="G175" s="28" t="s">
        <v>287</v>
      </c>
    </row>
    <row r="176" spans="1:7" ht="31.5" x14ac:dyDescent="0.25">
      <c r="A176" s="16"/>
      <c r="B176" s="39" t="s">
        <v>387</v>
      </c>
      <c r="C176" s="24" t="s">
        <v>313</v>
      </c>
      <c r="D176" s="25" t="s">
        <v>14</v>
      </c>
      <c r="E176" s="26">
        <v>1027.94</v>
      </c>
      <c r="F176" s="27" t="s">
        <v>9</v>
      </c>
      <c r="G176" s="28" t="s">
        <v>287</v>
      </c>
    </row>
    <row r="177" spans="1:7" ht="31.5" x14ac:dyDescent="0.25">
      <c r="A177" s="16"/>
      <c r="B177" s="39" t="s">
        <v>388</v>
      </c>
      <c r="C177" s="24" t="s">
        <v>314</v>
      </c>
      <c r="D177" s="25" t="s">
        <v>14</v>
      </c>
      <c r="E177" s="26">
        <v>1027.94</v>
      </c>
      <c r="F177" s="27" t="s">
        <v>9</v>
      </c>
      <c r="G177" s="28" t="s">
        <v>287</v>
      </c>
    </row>
    <row r="178" spans="1:7" x14ac:dyDescent="0.25">
      <c r="A178" s="16"/>
      <c r="B178" s="39" t="s">
        <v>389</v>
      </c>
      <c r="C178" s="24" t="s">
        <v>315</v>
      </c>
      <c r="D178" s="25" t="s">
        <v>14</v>
      </c>
      <c r="E178" s="26">
        <v>1009118.32</v>
      </c>
      <c r="F178" s="27" t="s">
        <v>9</v>
      </c>
      <c r="G178" s="28" t="s">
        <v>293</v>
      </c>
    </row>
    <row r="179" spans="1:7" ht="31.5" x14ac:dyDescent="0.25">
      <c r="A179" s="16"/>
      <c r="B179" s="39" t="s">
        <v>390</v>
      </c>
      <c r="C179" s="24" t="s">
        <v>316</v>
      </c>
      <c r="D179" s="25" t="s">
        <v>14</v>
      </c>
      <c r="E179" s="26">
        <v>1648</v>
      </c>
      <c r="F179" s="27" t="s">
        <v>9</v>
      </c>
      <c r="G179" s="28" t="s">
        <v>287</v>
      </c>
    </row>
    <row r="180" spans="1:7" ht="31.5" x14ac:dyDescent="0.25">
      <c r="A180" s="16"/>
      <c r="B180" s="39" t="s">
        <v>391</v>
      </c>
      <c r="C180" s="24" t="s">
        <v>317</v>
      </c>
      <c r="D180" s="25" t="s">
        <v>21</v>
      </c>
      <c r="E180" s="26">
        <v>9222.5</v>
      </c>
      <c r="F180" s="27" t="s">
        <v>9</v>
      </c>
      <c r="G180" s="28" t="s">
        <v>318</v>
      </c>
    </row>
    <row r="181" spans="1:7" x14ac:dyDescent="0.25">
      <c r="A181" s="16"/>
      <c r="B181" s="39" t="s">
        <v>392</v>
      </c>
      <c r="C181" s="24" t="s">
        <v>319</v>
      </c>
      <c r="D181" s="25" t="s">
        <v>21</v>
      </c>
      <c r="E181" s="26">
        <v>2734.36</v>
      </c>
      <c r="F181" s="27" t="s">
        <v>9</v>
      </c>
      <c r="G181" s="28" t="s">
        <v>283</v>
      </c>
    </row>
    <row r="182" spans="1:7" x14ac:dyDescent="0.25">
      <c r="A182" s="16"/>
      <c r="B182" s="39" t="s">
        <v>393</v>
      </c>
      <c r="C182" s="24" t="s">
        <v>320</v>
      </c>
      <c r="D182" s="25" t="s">
        <v>21</v>
      </c>
      <c r="E182" s="26">
        <v>2621.37</v>
      </c>
      <c r="F182" s="27" t="s">
        <v>9</v>
      </c>
      <c r="G182" s="28" t="s">
        <v>283</v>
      </c>
    </row>
    <row r="183" spans="1:7" x14ac:dyDescent="0.25">
      <c r="B183" s="39" t="s">
        <v>394</v>
      </c>
      <c r="C183" s="24" t="s">
        <v>321</v>
      </c>
      <c r="D183" s="25" t="s">
        <v>14</v>
      </c>
      <c r="E183" s="26">
        <v>1210738.6000000001</v>
      </c>
      <c r="F183" s="27" t="s">
        <v>9</v>
      </c>
      <c r="G183" s="28" t="s">
        <v>322</v>
      </c>
    </row>
    <row r="184" spans="1:7" x14ac:dyDescent="0.25">
      <c r="B184" s="39" t="s">
        <v>395</v>
      </c>
      <c r="C184" s="24" t="s">
        <v>323</v>
      </c>
      <c r="D184" s="25" t="s">
        <v>14</v>
      </c>
      <c r="E184" s="26">
        <v>1338821.48</v>
      </c>
      <c r="F184" s="27" t="s">
        <v>9</v>
      </c>
      <c r="G184" s="28" t="s">
        <v>322</v>
      </c>
    </row>
    <row r="185" spans="1:7" x14ac:dyDescent="0.25">
      <c r="B185" s="39" t="s">
        <v>396</v>
      </c>
      <c r="C185" s="24" t="s">
        <v>324</v>
      </c>
      <c r="D185" s="25" t="s">
        <v>8</v>
      </c>
      <c r="E185" s="26">
        <v>3600</v>
      </c>
      <c r="F185" s="27" t="s">
        <v>9</v>
      </c>
      <c r="G185" s="28" t="s">
        <v>28</v>
      </c>
    </row>
    <row r="186" spans="1:7" ht="47.25" x14ac:dyDescent="0.25">
      <c r="B186" s="39" t="s">
        <v>397</v>
      </c>
      <c r="C186" s="24" t="s">
        <v>325</v>
      </c>
      <c r="D186" s="25" t="s">
        <v>14</v>
      </c>
      <c r="E186" s="26">
        <v>124372.5</v>
      </c>
      <c r="F186" s="27" t="s">
        <v>9</v>
      </c>
      <c r="G186" s="28" t="s">
        <v>287</v>
      </c>
    </row>
    <row r="187" spans="1:7" x14ac:dyDescent="0.25">
      <c r="C187" s="6"/>
      <c r="G187" s="9"/>
    </row>
    <row r="188" spans="1:7" x14ac:dyDescent="0.25">
      <c r="C188" s="6"/>
      <c r="G188" s="9"/>
    </row>
    <row r="189" spans="1:7" x14ac:dyDescent="0.25">
      <c r="C189" s="6"/>
      <c r="G189" s="9"/>
    </row>
    <row r="190" spans="1:7" ht="18.75" x14ac:dyDescent="0.25">
      <c r="C190" s="7" t="s">
        <v>326</v>
      </c>
      <c r="G190" s="9"/>
    </row>
    <row r="191" spans="1:7" ht="18.75" x14ac:dyDescent="0.25">
      <c r="C191" s="8" t="s">
        <v>327</v>
      </c>
      <c r="G191" s="9"/>
    </row>
  </sheetData>
  <customSheetViews>
    <customSheetView guid="{3A86128B-0026-42FD-8B72-A90C34F98368}" filter="1" showAutoFilter="1">
      <pageMargins left="0.7" right="0.7" top="0.75" bottom="0.75" header="0.3" footer="0.3"/>
      <autoFilter ref="A5:Z19" xr:uid="{DDA1B413-D5C6-40AE-B7AA-19A835EAFF41}"/>
    </customSheetView>
  </customSheetViews>
  <mergeCells count="1">
    <mergeCell ref="B2:G3"/>
  </mergeCells>
  <phoneticPr fontId="6" type="noConversion"/>
  <conditionalFormatting sqref="C1:C1048576">
    <cfRule type="duplicateValues" dxfId="0" priority="1"/>
  </conditionalFormatting>
  <hyperlinks>
    <hyperlink ref="G7" r:id="rId1" xr:uid="{00000000-0004-0000-0000-000004000000}"/>
    <hyperlink ref="G9" r:id="rId2" xr:uid="{00000000-0004-0000-0000-000006000000}"/>
    <hyperlink ref="G10" r:id="rId3" xr:uid="{00000000-0004-0000-0000-000007000000}"/>
    <hyperlink ref="G11" r:id="rId4" xr:uid="{00000000-0004-0000-0000-000008000000}"/>
    <hyperlink ref="G12" r:id="rId5" xr:uid="{00000000-0004-0000-0000-000009000000}"/>
    <hyperlink ref="G13" r:id="rId6" xr:uid="{00000000-0004-0000-0000-00000A000000}"/>
    <hyperlink ref="G15" r:id="rId7" xr:uid="{00000000-0004-0000-0000-000011000000}"/>
    <hyperlink ref="G16" r:id="rId8" xr:uid="{00000000-0004-0000-0000-000013000000}"/>
    <hyperlink ref="G17" r:id="rId9" xr:uid="{00000000-0004-0000-0000-000014000000}"/>
    <hyperlink ref="G18" r:id="rId10" xr:uid="{00000000-0004-0000-0000-000015000000}"/>
    <hyperlink ref="G19" r:id="rId11" xr:uid="{00000000-0004-0000-0000-000016000000}"/>
    <hyperlink ref="G21" r:id="rId12" xr:uid="{00000000-0004-0000-0000-000018000000}"/>
    <hyperlink ref="G22" r:id="rId13" xr:uid="{00000000-0004-0000-0000-000019000000}"/>
    <hyperlink ref="G23" r:id="rId14" xr:uid="{00000000-0004-0000-0000-00001A000000}"/>
    <hyperlink ref="G24" r:id="rId15" xr:uid="{00000000-0004-0000-0000-00001B000000}"/>
    <hyperlink ref="G25" r:id="rId16" xr:uid="{00000000-0004-0000-0000-00001C000000}"/>
    <hyperlink ref="G26" r:id="rId17" xr:uid="{00000000-0004-0000-0000-00001D000000}"/>
    <hyperlink ref="G27" r:id="rId18" xr:uid="{00000000-0004-0000-0000-00001E000000}"/>
    <hyperlink ref="G28" r:id="rId19" xr:uid="{00000000-0004-0000-0000-00001F000000}"/>
    <hyperlink ref="G29" r:id="rId20" xr:uid="{00000000-0004-0000-0000-000020000000}"/>
    <hyperlink ref="G30" r:id="rId21" xr:uid="{00000000-0004-0000-0000-000021000000}"/>
    <hyperlink ref="G31" r:id="rId22" xr:uid="{00000000-0004-0000-0000-000023000000}"/>
    <hyperlink ref="G32" r:id="rId23" xr:uid="{00000000-0004-0000-0000-000024000000}"/>
    <hyperlink ref="G33" r:id="rId24" xr:uid="{00000000-0004-0000-0000-000025000000}"/>
    <hyperlink ref="G34" r:id="rId25" xr:uid="{00000000-0004-0000-0000-000026000000}"/>
    <hyperlink ref="G36" r:id="rId26" xr:uid="{00000000-0004-0000-0000-000027000000}"/>
    <hyperlink ref="G37" r:id="rId27" xr:uid="{00000000-0004-0000-0000-000029000000}"/>
    <hyperlink ref="G38" r:id="rId28" xr:uid="{00000000-0004-0000-0000-00002A000000}"/>
    <hyperlink ref="G39" r:id="rId29" xr:uid="{00000000-0004-0000-0000-00002B000000}"/>
    <hyperlink ref="G40" r:id="rId30" xr:uid="{00000000-0004-0000-0000-00002C000000}"/>
    <hyperlink ref="G41" r:id="rId31" xr:uid="{00000000-0004-0000-0000-00002D000000}"/>
    <hyperlink ref="G42" r:id="rId32" xr:uid="{00000000-0004-0000-0000-00002E000000}"/>
    <hyperlink ref="G43" r:id="rId33" xr:uid="{00000000-0004-0000-0000-000030000000}"/>
    <hyperlink ref="G44" r:id="rId34" xr:uid="{00000000-0004-0000-0000-000031000000}"/>
    <hyperlink ref="G45" r:id="rId35" xr:uid="{00000000-0004-0000-0000-000032000000}"/>
    <hyperlink ref="G46" r:id="rId36" xr:uid="{00000000-0004-0000-0000-000033000000}"/>
    <hyperlink ref="G47" r:id="rId37" xr:uid="{00000000-0004-0000-0000-000034000000}"/>
    <hyperlink ref="G48" r:id="rId38" xr:uid="{00000000-0004-0000-0000-000035000000}"/>
    <hyperlink ref="G49" r:id="rId39" xr:uid="{00000000-0004-0000-0000-000036000000}"/>
    <hyperlink ref="G50" r:id="rId40" xr:uid="{00000000-0004-0000-0000-000037000000}"/>
    <hyperlink ref="G51" r:id="rId41" xr:uid="{00000000-0004-0000-0000-000038000000}"/>
    <hyperlink ref="G52" r:id="rId42" xr:uid="{00000000-0004-0000-0000-000039000000}"/>
    <hyperlink ref="G53" r:id="rId43" xr:uid="{00000000-0004-0000-0000-00003A000000}"/>
    <hyperlink ref="G54" r:id="rId44" xr:uid="{00000000-0004-0000-0000-00003B000000}"/>
    <hyperlink ref="G55" r:id="rId45" xr:uid="{00000000-0004-0000-0000-00003C000000}"/>
    <hyperlink ref="G56" r:id="rId46" xr:uid="{00000000-0004-0000-0000-00003D000000}"/>
    <hyperlink ref="G57" r:id="rId47" xr:uid="{00000000-0004-0000-0000-00003E000000}"/>
    <hyperlink ref="G58" r:id="rId48" xr:uid="{00000000-0004-0000-0000-00003F000000}"/>
    <hyperlink ref="G59" r:id="rId49" xr:uid="{00000000-0004-0000-0000-000040000000}"/>
    <hyperlink ref="G60" r:id="rId50" xr:uid="{00000000-0004-0000-0000-000041000000}"/>
    <hyperlink ref="G61" r:id="rId51" xr:uid="{00000000-0004-0000-0000-000042000000}"/>
    <hyperlink ref="G62" r:id="rId52" xr:uid="{00000000-0004-0000-0000-000044000000}"/>
    <hyperlink ref="G63" r:id="rId53" xr:uid="{00000000-0004-0000-0000-000045000000}"/>
    <hyperlink ref="G64" r:id="rId54" xr:uid="{00000000-0004-0000-0000-000046000000}"/>
    <hyperlink ref="G66" r:id="rId55" xr:uid="{00000000-0004-0000-0000-000026010000}"/>
    <hyperlink ref="G67" r:id="rId56" xr:uid="{00000000-0004-0000-0000-000027010000}"/>
    <hyperlink ref="G68" r:id="rId57" xr:uid="{00000000-0004-0000-0000-000028010000}"/>
    <hyperlink ref="G69" r:id="rId58" xr:uid="{00000000-0004-0000-0000-000029010000}"/>
    <hyperlink ref="G70" r:id="rId59" xr:uid="{00000000-0004-0000-0000-00002A010000}"/>
    <hyperlink ref="G71" r:id="rId60" xr:uid="{00000000-0004-0000-0000-00002B010000}"/>
    <hyperlink ref="G72" r:id="rId61" xr:uid="{00000000-0004-0000-0000-00002D010000}"/>
    <hyperlink ref="G73" r:id="rId62" xr:uid="{00000000-0004-0000-0000-00002E010000}"/>
    <hyperlink ref="G74" r:id="rId63" xr:uid="{00000000-0004-0000-0000-000030010000}"/>
    <hyperlink ref="G75" r:id="rId64" xr:uid="{00000000-0004-0000-0000-000031010000}"/>
    <hyperlink ref="G76" r:id="rId65" xr:uid="{00000000-0004-0000-0000-000032010000}"/>
    <hyperlink ref="G77" r:id="rId66" xr:uid="{00000000-0004-0000-0000-000033010000}"/>
    <hyperlink ref="G78" r:id="rId67" xr:uid="{00000000-0004-0000-0000-000034010000}"/>
    <hyperlink ref="G79" r:id="rId68" xr:uid="{00000000-0004-0000-0000-000035010000}"/>
    <hyperlink ref="G80" r:id="rId69" xr:uid="{00000000-0004-0000-0000-000037010000}"/>
    <hyperlink ref="G81" r:id="rId70" xr:uid="{00000000-0004-0000-0000-000038010000}"/>
    <hyperlink ref="G82" r:id="rId71" xr:uid="{00000000-0004-0000-0000-000039010000}"/>
    <hyperlink ref="G83" r:id="rId72" xr:uid="{00000000-0004-0000-0000-00003A010000}"/>
    <hyperlink ref="G84" r:id="rId73" xr:uid="{00000000-0004-0000-0000-00003C010000}"/>
    <hyperlink ref="G85" r:id="rId74" xr:uid="{00000000-0004-0000-0000-00003D010000}"/>
    <hyperlink ref="G86" r:id="rId75" xr:uid="{00000000-0004-0000-0000-00003F010000}"/>
    <hyperlink ref="G87" r:id="rId76" xr:uid="{00000000-0004-0000-0000-000040010000}"/>
    <hyperlink ref="G88" r:id="rId77" xr:uid="{00000000-0004-0000-0000-000043010000}"/>
    <hyperlink ref="G89" r:id="rId78" xr:uid="{00000000-0004-0000-0000-000044010000}"/>
    <hyperlink ref="G90" r:id="rId79" xr:uid="{00000000-0004-0000-0000-000045010000}"/>
    <hyperlink ref="G91" r:id="rId80" xr:uid="{00000000-0004-0000-0000-000046010000}"/>
    <hyperlink ref="G92" r:id="rId81" xr:uid="{00000000-0004-0000-0000-000047010000}"/>
    <hyperlink ref="G93" r:id="rId82" xr:uid="{00000000-0004-0000-0000-000048010000}"/>
    <hyperlink ref="G94" r:id="rId83" xr:uid="{00000000-0004-0000-0000-000049010000}"/>
    <hyperlink ref="G95" r:id="rId84" xr:uid="{00000000-0004-0000-0000-00004A010000}"/>
    <hyperlink ref="G96" r:id="rId85" xr:uid="{00000000-0004-0000-0000-00004B010000}"/>
    <hyperlink ref="G97" r:id="rId86" xr:uid="{00000000-0004-0000-0000-00004C010000}"/>
    <hyperlink ref="G98" r:id="rId87" xr:uid="{00000000-0004-0000-0000-00004D010000}"/>
    <hyperlink ref="G99" r:id="rId88" xr:uid="{00000000-0004-0000-0000-00004E010000}"/>
    <hyperlink ref="G100" r:id="rId89" xr:uid="{00000000-0004-0000-0000-000050010000}"/>
    <hyperlink ref="G101" r:id="rId90" xr:uid="{00000000-0004-0000-0000-000052010000}"/>
    <hyperlink ref="G102" r:id="rId91" xr:uid="{00000000-0004-0000-0000-000053010000}"/>
    <hyperlink ref="G125" r:id="rId92" xr:uid="{00000000-0004-0000-0000-000075010000}"/>
    <hyperlink ref="G126" r:id="rId93" xr:uid="{00000000-0004-0000-0000-000076010000}"/>
    <hyperlink ref="G128" r:id="rId94" xr:uid="{00000000-0004-0000-0000-000077010000}"/>
    <hyperlink ref="G129" r:id="rId95" xr:uid="{00000000-0004-0000-0000-000078010000}"/>
    <hyperlink ref="G130" r:id="rId96" xr:uid="{00000000-0004-0000-0000-000079010000}"/>
    <hyperlink ref="G131" r:id="rId97" xr:uid="{00000000-0004-0000-0000-00007A010000}"/>
    <hyperlink ref="G132" r:id="rId98" xr:uid="{00000000-0004-0000-0000-00007B010000}"/>
    <hyperlink ref="G133" r:id="rId99" xr:uid="{00000000-0004-0000-0000-00007C010000}"/>
    <hyperlink ref="G135" r:id="rId100" xr:uid="{00000000-0004-0000-0000-00007D010000}"/>
    <hyperlink ref="G136" r:id="rId101" xr:uid="{00000000-0004-0000-0000-00007E010000}"/>
    <hyperlink ref="G137" r:id="rId102" xr:uid="{00000000-0004-0000-0000-00007F010000}"/>
    <hyperlink ref="G138" r:id="rId103" xr:uid="{00000000-0004-0000-0000-000080010000}"/>
    <hyperlink ref="G139" r:id="rId104" xr:uid="{00000000-0004-0000-0000-000081010000}"/>
    <hyperlink ref="G140" r:id="rId105" xr:uid="{00000000-0004-0000-0000-000082010000}"/>
    <hyperlink ref="G141" r:id="rId106" xr:uid="{00000000-0004-0000-0000-000083010000}"/>
    <hyperlink ref="G142" r:id="rId107" xr:uid="{00000000-0004-0000-0000-000084010000}"/>
    <hyperlink ref="G143" r:id="rId108" xr:uid="{00000000-0004-0000-0000-000085010000}"/>
    <hyperlink ref="G144" r:id="rId109" xr:uid="{00000000-0004-0000-0000-000086010000}"/>
    <hyperlink ref="G145" r:id="rId110" xr:uid="{00000000-0004-0000-0000-000087010000}"/>
    <hyperlink ref="G146" r:id="rId111" xr:uid="{00000000-0004-0000-0000-000088010000}"/>
    <hyperlink ref="G147" r:id="rId112" xr:uid="{00000000-0004-0000-0000-000089010000}"/>
    <hyperlink ref="G148" r:id="rId113" xr:uid="{00000000-0004-0000-0000-00008A010000}"/>
    <hyperlink ref="G149" r:id="rId114" xr:uid="{00000000-0004-0000-0000-00008B010000}"/>
    <hyperlink ref="G150" r:id="rId115" xr:uid="{00000000-0004-0000-0000-00008C010000}"/>
    <hyperlink ref="G151" r:id="rId116" xr:uid="{00000000-0004-0000-0000-00008D010000}"/>
    <hyperlink ref="G152" r:id="rId117" xr:uid="{00000000-0004-0000-0000-00008E010000}"/>
    <hyperlink ref="G154" r:id="rId118" xr:uid="{00000000-0004-0000-0000-000090010000}"/>
    <hyperlink ref="G155" r:id="rId119" xr:uid="{00000000-0004-0000-0000-000092010000}"/>
    <hyperlink ref="G156" r:id="rId120" xr:uid="{00000000-0004-0000-0000-000093010000}"/>
    <hyperlink ref="G157" r:id="rId121" xr:uid="{00000000-0004-0000-0000-000094010000}"/>
    <hyperlink ref="G158" r:id="rId122" xr:uid="{00000000-0004-0000-0000-000095010000}"/>
    <hyperlink ref="G159" r:id="rId123" xr:uid="{00000000-0004-0000-0000-000096010000}"/>
    <hyperlink ref="G160" r:id="rId124" xr:uid="{00000000-0004-0000-0000-000098010000}"/>
    <hyperlink ref="G161" r:id="rId125" xr:uid="{00000000-0004-0000-0000-00009A010000}"/>
    <hyperlink ref="G162" r:id="rId126" xr:uid="{00000000-0004-0000-0000-00009B010000}"/>
    <hyperlink ref="G163" r:id="rId127" xr:uid="{00000000-0004-0000-0000-00009D010000}"/>
    <hyperlink ref="G164" r:id="rId128" xr:uid="{00000000-0004-0000-0000-00009E010000}"/>
    <hyperlink ref="G165" r:id="rId129" xr:uid="{00000000-0004-0000-0000-00009F010000}"/>
    <hyperlink ref="G166" r:id="rId130" xr:uid="{00000000-0004-0000-0000-0000A0010000}"/>
    <hyperlink ref="G167" r:id="rId131" xr:uid="{00000000-0004-0000-0000-0000A2010000}"/>
    <hyperlink ref="G168" r:id="rId132" xr:uid="{00000000-0004-0000-0000-0000A3010000}"/>
    <hyperlink ref="G169" r:id="rId133" xr:uid="{00000000-0004-0000-0000-0000A4010000}"/>
    <hyperlink ref="G170" r:id="rId134" xr:uid="{00000000-0004-0000-0000-0000A5010000}"/>
    <hyperlink ref="G171" r:id="rId135" xr:uid="{00000000-0004-0000-0000-0000A7010000}"/>
    <hyperlink ref="G172" r:id="rId136" xr:uid="{00000000-0004-0000-0000-0000A8010000}"/>
    <hyperlink ref="G173" r:id="rId137" xr:uid="{00000000-0004-0000-0000-0000A9010000}"/>
    <hyperlink ref="G174" r:id="rId138" xr:uid="{00000000-0004-0000-0000-0000AA010000}"/>
    <hyperlink ref="G175" r:id="rId139" xr:uid="{00000000-0004-0000-0000-0000AB010000}"/>
    <hyperlink ref="G176" r:id="rId140" xr:uid="{00000000-0004-0000-0000-0000AC010000}"/>
    <hyperlink ref="G177" r:id="rId141" xr:uid="{00000000-0004-0000-0000-0000AD010000}"/>
    <hyperlink ref="G178" r:id="rId142" xr:uid="{00000000-0004-0000-0000-0000AE010000}"/>
    <hyperlink ref="G179" r:id="rId143" xr:uid="{00000000-0004-0000-0000-0000AF010000}"/>
    <hyperlink ref="G180" r:id="rId144" xr:uid="{00000000-0004-0000-0000-0000B0010000}"/>
    <hyperlink ref="G181" r:id="rId145" xr:uid="{00000000-0004-0000-0000-0000B1010000}"/>
    <hyperlink ref="G182" r:id="rId146" xr:uid="{00000000-0004-0000-0000-0000B2010000}"/>
    <hyperlink ref="G183" r:id="rId147" xr:uid="{00000000-0004-0000-0000-0000B3010000}"/>
    <hyperlink ref="G184" r:id="rId148" xr:uid="{00000000-0004-0000-0000-0000B4010000}"/>
    <hyperlink ref="G185" r:id="rId149" xr:uid="{00000000-0004-0000-0000-0000B5010000}"/>
    <hyperlink ref="G186" r:id="rId150" xr:uid="{00000000-0004-0000-0000-0000B6010000}"/>
    <hyperlink ref="G104" r:id="rId151" xr:uid="{00000000-0004-0000-0000-00007A010000}"/>
    <hyperlink ref="G105" r:id="rId152" xr:uid="{00000000-0004-0000-0000-00007B010000}"/>
    <hyperlink ref="G106" r:id="rId153" xr:uid="{00000000-0004-0000-0000-00007D010000}"/>
    <hyperlink ref="G107" r:id="rId154" xr:uid="{00000000-0004-0000-0000-00008E010000}"/>
    <hyperlink ref="G108" r:id="rId155" xr:uid="{00000000-0004-0000-0000-00008F010000}"/>
    <hyperlink ref="G109" r:id="rId156" xr:uid="{00000000-0004-0000-0000-000090010000}"/>
    <hyperlink ref="G110" r:id="rId157" xr:uid="{00000000-0004-0000-0000-000092010000}"/>
    <hyperlink ref="G111" r:id="rId158" xr:uid="{00000000-0004-0000-0000-000097010000}"/>
    <hyperlink ref="G112" r:id="rId159" xr:uid="{00000000-0004-0000-0000-000098010000}"/>
    <hyperlink ref="G113" r:id="rId160" xr:uid="{00000000-0004-0000-0000-000099010000}"/>
    <hyperlink ref="G114" r:id="rId161" xr:uid="{00000000-0004-0000-0000-00009C010000}"/>
    <hyperlink ref="G115" r:id="rId162" xr:uid="{00000000-0004-0000-0000-0000A8010000}"/>
    <hyperlink ref="G116" r:id="rId163" xr:uid="{00000000-0004-0000-0000-0000B9010000}"/>
    <hyperlink ref="G117" r:id="rId164" xr:uid="{00000000-0004-0000-0000-0000D8010000}"/>
    <hyperlink ref="G118" r:id="rId165" xr:uid="{00000000-0004-0000-0000-0000D9010000}"/>
    <hyperlink ref="G119" r:id="rId166" xr:uid="{00000000-0004-0000-0000-0000DA010000}"/>
    <hyperlink ref="G120" r:id="rId167" xr:uid="{00000000-0004-0000-0000-0000E3010000}"/>
    <hyperlink ref="G121" r:id="rId168" xr:uid="{00000000-0004-0000-0000-0000E5010000}"/>
    <hyperlink ref="G122" r:id="rId169" xr:uid="{00000000-0004-0000-0000-0000E6010000}"/>
    <hyperlink ref="G123" r:id="rId170" xr:uid="{00000000-0004-0000-0000-0000EB010000}"/>
    <hyperlink ref="G20" r:id="rId171" xr:uid="{00000000-0004-0000-0000-000017000000}"/>
  </hyperlinks>
  <pageMargins left="0.7" right="0.7" top="0.75" bottom="0.75" header="0.3" footer="0.3"/>
  <pageSetup paperSize="9" orientation="portrait" r:id="rId1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Некрасов Лев Максимович</cp:lastModifiedBy>
  <dcterms:modified xsi:type="dcterms:W3CDTF">2026-01-22T14:47:31Z</dcterms:modified>
</cp:coreProperties>
</file>